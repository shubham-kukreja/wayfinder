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port Summary" sheetId="1" r:id="rId5"/>
    <sheet state="visible" name="README" sheetId="2" r:id="rId6"/>
    <sheet state="visible" name="Weights &amp; Rules" sheetId="3" r:id="rId7"/>
    <sheet state="visible" name="Calculation Guide" sheetId="4" r:id="rId8"/>
    <sheet state="visible" name="L1 Asset Classes" sheetId="5" r:id="rId9"/>
    <sheet state="visible" name="Equity Segments" sheetId="6" r:id="rId10"/>
    <sheet state="visible" name="Debt Buckets" sheetId="7" r:id="rId11"/>
    <sheet state="visible" name="Precious Metals" sheetId="8" r:id="rId12"/>
    <sheet state="visible" name="Sector Satellite" sheetId="9" r:id="rId13"/>
    <sheet state="visible" name="Portfolio Rollup" sheetId="10" r:id="rId14"/>
    <sheet state="visible" name="Data Trackers" sheetId="11" r:id="rId15"/>
    <sheet state="visible" name="Monitoring &amp; Review" sheetId="12" r:id="rId16"/>
  </sheets>
  <definedNames/>
  <calcPr/>
</workbook>
</file>

<file path=xl/sharedStrings.xml><?xml version="1.0" encoding="utf-8"?>
<sst xmlns="http://schemas.openxmlformats.org/spreadsheetml/2006/main" count="582" uniqueCount="375">
  <si>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</si>
  <si>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</si>
  <si>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</si>
  <si>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</si>
  <si>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README</t>
  </si>
  <si>
    <t>Multi-Asset Allocation Framework — Equity, Debt, Precious Metals &amp; Sector Satellite</t>
  </si>
  <si>
    <t>Weights &amp; Rules</t>
  </si>
  <si>
    <t>Calculation Guide — exactly how to compute every score</t>
  </si>
  <si>
    <t>Table 1</t>
  </si>
  <si>
    <t>Level 1 — Asset class signal weights (uniform signals, class-specific guidance)</t>
  </si>
  <si>
    <t>THE UNIVERSAL RECIPE (memorize this; everything below is a variation of it):  (1) Get the raw metric's monthly history — the longer the better, 10Y+ ideal.  (2) Compute the current value's percentile within that history: =PERCENTRANK(history_range, current_value)*100.  (3) Convert percentile to ATTRACTIVENESS: if the metric is a PRICE/VALUATION/FLOW (high = expensive/euphoric), attractiveness = 100 − percentile. If the metric is a YIELD/SPREAD-CUSHION/BREADTH/MOMENTUM (high = good), attractiveness = percentile as-is.  (4) Where history isn't available, use the stated rubric (a lookup table from observable conditions to a score).  Enter the resulting 0–100 number in the blue cell. When a signal has two sub-parts, average them.</t>
  </si>
  <si>
    <t>Architecture: two levels plus a caged satellite</t>
  </si>
  <si>
    <t>Signal</t>
  </si>
  <si>
    <t>LEVEL 1 decides the split between Equity, Debt and Precious Metals. LEVEL 2 allocates within each: equity across Large/Mid/Small/International, debt across duration-credit buckets, metals between gold and silver. The SECTOR SATELLITE is a capped sleeve carved out of equity, deployed only when sectors clear a high bar — empty by default. The Portfolio Rollup multiplies the levels into one final allocation summing to 100%.</t>
  </si>
  <si>
    <t>Weight</t>
  </si>
  <si>
    <t>Calculation Guide</t>
  </si>
  <si>
    <t>Guidance</t>
  </si>
  <si>
    <t>L1 ASSET CLASSES — Equity column</t>
  </si>
  <si>
    <t>L1 Asset Classes</t>
  </si>
  <si>
    <t>Workflow</t>
  </si>
  <si>
    <t>Valuation / carry attractiveness</t>
  </si>
  <si>
    <t>Step 1 — Log monthly data on Data Trackers (index P/E, flows, 10Y yield, credit spread, gold and gold/silver ratio). Percentiles build automatically as history accumulates.</t>
  </si>
  <si>
    <t>Equity Segments</t>
  </si>
  <si>
    <t>Step 2 — At reviews, enter attractiveness percentiles (0–100, higher = more attractive FORWARD) on the scoring sheets. Valuation and flow percentiles must be INVERTED from raw history percentiles (expensive/euphoric = low attractiveness). Yield percentiles for debt are NOT inverted — high yields vs history = attractive carry.</t>
  </si>
  <si>
    <t>Equity: earnings yield vs 10Y G-sec, index P/E percentile (inverted). Debt: real yield &amp; absolute yield percentile (NOT inverted — high yield = attractive). Metals: real gold price vs history (inverted).</t>
  </si>
  <si>
    <t>Debt Buckets</t>
  </si>
  <si>
    <t>Exact calculation — step by step</t>
  </si>
  <si>
    <t>Data source</t>
  </si>
  <si>
    <t>Worked example</t>
  </si>
  <si>
    <t>Step 3 — Set veto flags where triggered. Vetoes block overweights only; they never force underweights.</t>
  </si>
  <si>
    <t>Step 4 — Read Portfolio Rollup for the final allocation. Implement changes gradually over 4–8 weeks.</t>
  </si>
  <si>
    <t>Macro / cycle support</t>
  </si>
  <si>
    <t>Precious Metals</t>
  </si>
  <si>
    <t>Rate cycle direction (cuts favour equity duration &amp; long debt &amp; gold), growth momentum vs expectations, inflation trajectory.</t>
  </si>
  <si>
    <t>Valuation / carry</t>
  </si>
  <si>
    <t>Sector Satellite</t>
  </si>
  <si>
    <t>Fundamentals</t>
  </si>
  <si>
    <t>Two parts, then average. (a) Earnings-yield gap = (100 / Nifty 50 trailing P/E) − 10Y G-sec yield. Build monthly history of this gap; attractiveness = PERCENTRANK of current gap × 100, AS-IS (high gap = equity cheap vs bonds = attractive). (b) Nifty P/E percentile vs its own 10–15Y history, INVERTED: attractiveness = 100 − percentile. Final score = (a + b) / 2.</t>
  </si>
  <si>
    <t>Design principles</t>
  </si>
  <si>
    <t>Equity: earnings revision breadth. Debt: credit conditions, fiscal supply of paper. Metals: central-bank buying, ETF holdings trend.</t>
  </si>
  <si>
    <t>NSE index P/E (niftyindices.com); 10Y yield from Data Trackers rates log</t>
  </si>
  <si>
    <t>Nifty P/E 22 → earnings yield 4.55%; 10Y = 6.75% → gap = −2.2%. If that gap sits at the 30th %ile of history → (a)=30. P/E 22 = 55th %ile of history → (b) = 100−55 = 45. Score = (30+45)/2 ≈ 38.</t>
  </si>
  <si>
    <t>Portfolio Rollup</t>
  </si>
  <si>
    <t>Flows &amp; sentiment (contrarian)</t>
  </si>
  <si>
    <t>Neutral weights are policy — set from your risk profile, changed at most annually, never by this framework. Tilts are capped (lean, never lurch). Slow signals (valuation, carry, cycle) drive; flows and momentum only nudge. Sectors are guilty until proven innocent: the satellite stays empty unless a sector clears the qualification threshold, and the sleeve is hard-capped because sector timing has the worst base rates of everything in this workbook.</t>
  </si>
  <si>
    <t>Category flows vs history, INVERTED: euphoric inflows = low score.</t>
  </si>
  <si>
    <t>Data Trackers</t>
  </si>
  <si>
    <t>Momentum (12M relative)</t>
  </si>
  <si>
    <t>Rubric (no history needed). Start at 50. RBI cutting or clearly about to cut: +20. On hold, neutral stance: +0. Hiking or hawkish: −20. GDP/high-frequency growth beating expectations: +10; missing: −10. Inflation falling toward target: +5; rising: −5. Clamp 0–100.</t>
  </si>
  <si>
    <t>Color coding</t>
  </si>
  <si>
    <t>Scored as-is: persistent relative strength = modestly positive.</t>
  </si>
  <si>
    <t>Monitoring &amp; Review</t>
  </si>
  <si>
    <t>RBI policy statements; monthly PMI/GST/IIP prints vs consensus</t>
  </si>
  <si>
    <t>RBI cut once, more expected (+20), growth in line (0), CPI easing (+5) → 50+25 = 75.</t>
  </si>
  <si>
    <t>Blue = inputs.  Black = formulas.  Yellow = key assumptions.  Green = cross-sheet references.</t>
  </si>
  <si>
    <t>Total (must equal 100%)</t>
  </si>
  <si>
    <t>Earnings revision breadth = upgrades ÷ (upgrades + downgrades) for Nifty 100 constituents, monthly. Attractiveness = PERCENTRANK of current breadth vs 5Y+ history × 100, AS-IS. If you can't source breadth, substitute: % change in Nifty consensus FY+1 EPS over the last 3 months, percentiled the same way.</t>
  </si>
  <si>
    <t>Brokerage strategy reports (most publish revision breadth monthly); ACE Equity/Bloomberg if available</t>
  </si>
  <si>
    <t>Breadth = 0.48 (48% of changes are upgrades); history percentile = 60 → score 60.</t>
  </si>
  <si>
    <t>Data sources: NSE index valuations; AMFI category flows; RBI/CCIL for G-sec yields; FIMMDA/broker reports for AAA spreads; gold price and gold/silver ratio from any bullion data source; US real yields from FRED. This is a decision-support framework, not investment advice — backtest weights against your historical MF data before trusting them.</t>
  </si>
  <si>
    <t>3-month average of total ACTIVE equity fund net flows (AMFI) as % of equity AUM. Percentile vs history, then INVERT: attractiveness = 100 − percentile. Euphoric inflows = low score.</t>
  </si>
  <si>
    <t>AMFI monthly data (flows and AUM by category)</t>
  </si>
  <si>
    <t>3M avg flows at 85th %ile of history → score = 100−85 = 15 (crowd is all-in → unattractive).</t>
  </si>
  <si>
    <t>Nifty 50 total-return 12M % minus 10Y G-sec yield (i.e., equity excess return). Percentile vs history, AS-IS.</t>
  </si>
  <si>
    <t>Index TR from NSE; yield from your rates log</t>
  </si>
  <si>
    <t>Nifty 12M TR = 14%, yield 6.75% → excess 7.25% → 55th %ile → score 55.</t>
  </si>
  <si>
    <t>L1 — Debt column</t>
  </si>
  <si>
    <t>Real 10Y yield = 10Y G-sec yield − latest CPI YoY. Percentile vs 10Y+ history, AS-IS (high real yield = attractive). Do NOT invert.</t>
  </si>
  <si>
    <t>Rates log (10Y); MOSPI CPI print</t>
  </si>
  <si>
    <t>10Y = 6.75%, CPI = 4.0% → real yield 2.75% → 78th %ile of history → score 78.</t>
  </si>
  <si>
    <t>Level 2 — Equity segment signal weights</t>
  </si>
  <si>
    <t>Rubric, start at 50: cuts expected over next 12M: +20 (duration gains ahead). On hold: 0. Hiking cycle: −15. Heavy G-sec supply / fiscal slippage risk: −10. Inflation trending below target: +10.</t>
  </si>
  <si>
    <t>RBI guidance, budget documents, bond-desk commentary</t>
  </si>
  <si>
    <t>Cuts expected (+20), supply normal (0), inflation at target (+0) → 70.</t>
  </si>
  <si>
    <t>Credit conditions rubric, start at 50: corporate downgrade/default cycle quiet: +10; rising downgrades or a visible credit event: −25; banking system liquidity comfortably in surplus: +10; deficit/tight: −10.</t>
  </si>
  <si>
    <t>CRISIL/ICRA rating action summaries (quarterly); RBI liquidity data</t>
  </si>
  <si>
    <t>Valuation vs own history</t>
  </si>
  <si>
    <t>Quiet credit cycle (+10), surplus liquidity (+10) → 70.</t>
  </si>
  <si>
    <t>Segment P/E-P/B percentile vs 10–15Y history, inverted. International: S&amp;P 500 fwd P/E and India–US gap.</t>
  </si>
  <si>
    <t>3M avg net flows into duration categories (corporate bond + gilt + medium/long funds, AMFI) as % of their AUM. Percentile vs history, INVERTED.</t>
  </si>
  <si>
    <t>AMFI</t>
  </si>
  <si>
    <t>Relative value vs other segments</t>
  </si>
  <si>
    <t>Duration-fund flows at 40th %ile → score = 60.</t>
  </si>
  <si>
    <t>Mid–Large / Small–Large spread percentiles (Data Trackers), inverted. For Large Cap: wide spreads = high score.</t>
  </si>
  <si>
    <t>CRISIL/NIFTY composite bond index 12M return, percentile vs history, AS-IS.</t>
  </si>
  <si>
    <t>Index providers / any debt fund factsheet quotes the index</t>
  </si>
  <si>
    <t>Earnings revision breadth</t>
  </si>
  <si>
    <t>Bond index 12M = 8.2% → 65th %ile → 65.</t>
  </si>
  <si>
    <t>Upgrade/downgrade ratio vs history.</t>
  </si>
  <si>
    <t>L1 — Precious Metals column</t>
  </si>
  <si>
    <t>Earnings growth differential</t>
  </si>
  <si>
    <t>Segment consensus EPS growth vs Large Cap. International: US vs India growth + INR trend.</t>
  </si>
  <si>
    <t>Margin / cycle position</t>
  </si>
  <si>
    <t>Aggregate margins vs history; credit growth, capacity utilization for domestic mid/small.</t>
  </si>
  <si>
    <t>INR gold price deflated by CPI index (real gold price). Percentile vs 15–20Y history, INVERTED: attractiveness = 100 − percentile.</t>
  </si>
  <si>
    <t>Metals log (gold ₹/10g); CPI index</t>
  </si>
  <si>
    <t>Real gold price at 90th %ile of 20Y history → score = 10 (historically expensive).</t>
  </si>
  <si>
    <t>US 10Y real yield (TIPS), 6M change rubric: fallen &gt;50bp: 75. Fallen 10–50bp: 60. Flat ±10bp: 50. Risen 10–50bp: 40. Risen &gt;50bp: 25. (Falling real yields are gold's main macro driver.)</t>
  </si>
  <si>
    <t>FRED series DFII10 (free)</t>
  </si>
  <si>
    <t>TIPS yield −30bp over 6M → 60.</t>
  </si>
  <si>
    <t>Rubric, start 50: central-bank buying running above 5Y average: +15; below: −10. Global gold ETF holdings rising 3M: +10; falling: −10.</t>
  </si>
  <si>
    <t>World Gold Council quarterly demand report (free)</t>
  </si>
  <si>
    <t>CB buying strong (+15), ETF holdings flat (0) → 65.</t>
  </si>
  <si>
    <t>Level 2 — Debt bucket signal weights</t>
  </si>
  <si>
    <t>Indian gold ETF net flows (AMFI), 3M avg, percentile vs history, INVERTED.</t>
  </si>
  <si>
    <t>AMFI (gold ETF category, already in your flow log)</t>
  </si>
  <si>
    <t>Gold ETF flows at 88th %ile → score 12 — also check the parabolic-move veto.</t>
  </si>
  <si>
    <t>Level 1 — Asset Class Scoring &amp; Tilt</t>
  </si>
  <si>
    <t>Gold INR 12M return percentile vs history, AS-IS — but if return &gt;40% in 6M the parabolic veto fires regardless of this score.</t>
  </si>
  <si>
    <t>Metals log (the tracker computes 12M return %ile once seeded)</t>
  </si>
  <si>
    <t>Carry vs history (YTM percentile)</t>
  </si>
  <si>
    <t>12M return 28% → 92nd %ile → score 92, but check veto.</t>
  </si>
  <si>
    <t>Bucket YTM vs own history — NOT inverted: high yield percentile = attractive.</t>
  </si>
  <si>
    <t>EQUITY SEGMENTS (per segment: Large / Mid / Small / International)</t>
  </si>
  <si>
    <t>Rate-cycle duration benefit</t>
  </si>
  <si>
    <t>Expected rate direction × bucket duration: cuts ahead = long/gilt scores high; hikes = short scores high.</t>
  </si>
  <si>
    <t>Credit spread cushion</t>
  </si>
  <si>
    <t>Attractiveness percentiles, 0–100, higher = more attractive forward. See Weights &amp; Rules for per-class guidance.</t>
  </si>
  <si>
    <t>AAA/corporate spread percentile vs history: wide spreads = attractive for corporate bucket, score high; tight = low.</t>
  </si>
  <si>
    <t>Liquidity / redemption safety</t>
  </si>
  <si>
    <t>Category AUM depth and stress behaviour; liquid/short structurally higher.</t>
  </si>
  <si>
    <t>Segment index trailing P/E percentile vs its own 10–15Y monthly history, INVERTED: attractiveness = 100 − PERCENTRANK×100. Optionally average with the same on P/B. International: use S&amp;P 500 forward P/E vs its own history, inverted; then subtract 5–10 points if the India–US valuation gap is at an extreme favouring India, add if favouring US.</t>
  </si>
  <si>
    <t>niftyindices.com historical P/E (downloadable); multpl.com or broker data for S&amp;P fwd P/E</t>
  </si>
  <si>
    <t>Midcap 150 P/E at 82nd %ile of its history → score = 18.</t>
  </si>
  <si>
    <t>Relative value vs segments</t>
  </si>
  <si>
    <t>Equity</t>
  </si>
  <si>
    <t>Debt</t>
  </si>
  <si>
    <t>Notes</t>
  </si>
  <si>
    <t>Directly from Data Trackers: Mid Spread %ile and Small Spread %ile columns compute automatically. Mid Cap score = 100 − Mid Spread %ile. Small Cap score = 100 − Small Spread %ile. Large Cap score = average of the two raw spread %iles AS-IS (wide spreads favour large). International = 100 − percentile of (S&amp;P fwd P/E − Nifty fwd P/E) spread vs history.</t>
  </si>
  <si>
    <t>Data Trackers valuation log (auto once seeded)</t>
  </si>
  <si>
    <t>Mid–Large spread at 75th %ile → Mid score 25; Large score ≈ (75+80)/2 = 77 if Small spread is 80th %ile.</t>
  </si>
  <si>
    <t>Same construction as L1 but per segment universe (Nifty 100 / Midcap 150 / Smallcap 250 constituents). Percentile vs history, AS-IS. If per-segment breadth is unobtainable, use 3M change in the segment index consensus EPS.</t>
  </si>
  <si>
    <t>Brokerage midcap/smallcap strategy notes publish this; else EPS trend from index factsheets</t>
  </si>
  <si>
    <t>Smallcap breadth at 45th %ile → 45.</t>
  </si>
  <si>
    <t>Level 2 — Precious metals split signal weights</t>
  </si>
  <si>
    <t>Segment consensus FY+1 EPS growth minus Large Cap's. Rubric: gap ≥ +8pp: 75. +3 to +8: 60. −3 to +3: 50. −3 to −8: 40. Below −8: 25. Large Cap itself is always 50. International: US EPS growth minus India's, same rubric, PLUS 5 points structural INR-depreciation tailwind.</t>
  </si>
  <si>
    <t>Index consensus estimates from broker strategy reports</t>
  </si>
  <si>
    <t>Midcap growth 18% vs Largecap 12% → gap +6pp → 60.</t>
  </si>
  <si>
    <t>Segment aggregate EBITDA margin percentile vs own history, INVERTED (peak margins = mean-reversion risk), averaged with a cycle rubric: credit growth accelerating +10, capacity utilization &gt;75% +5 (both favour domestic mid/small), else 0/negative. International: use US margin percentile inverted.</t>
  </si>
  <si>
    <t>Broker aggregate-margin charts; RBI OBICUS for capacity utilization</t>
  </si>
  <si>
    <t>Small cap margins at 85th %ile → 15; credit accelerating +10 → (15+60)/2 ≈ 38 (rubric half scored 50+10).</t>
  </si>
  <si>
    <t>Gold/Silver ratio positioning</t>
  </si>
  <si>
    <t>Ratio percentile vs 20Y history: very high ratio = silver cheap vs gold (silver scores high, gold low); very low = reverse.</t>
  </si>
  <si>
    <t>DEBT BUCKETS (Liquid/Short · Corporate/Medium · Gilt/Long)</t>
  </si>
  <si>
    <t>Real-rates trend benefit</t>
  </si>
  <si>
    <t>Falling US real yields favour both, gold most — score gold higher when real yields rolling over.</t>
  </si>
  <si>
    <t>COMPOSITE</t>
  </si>
  <si>
    <t>Industrial demand cycle</t>
  </si>
  <si>
    <t>Silver-specific: global manufacturing/solar cycle; gold scores neutral (50) here.</t>
  </si>
  <si>
    <t>Carry vs history (YTM %ile)</t>
  </si>
  <si>
    <t>Use each bucket's representative category average YTM (from 3–4 large funds' factsheets): Liquid/Short → short-duration category; Corporate → corporate bond category; Gilt → gilt/long category. Percentile vs the history you accumulate, AS-IS — high yield = attractive. Until history builds, proxy: Liquid = 1Y T-bill %ile, Corporate = 3Y AAA %ile, Gilt = 10Y G-sec %ile (rates log).</t>
  </si>
  <si>
    <t>Fund factsheets (monthly YTM disclosure); rates log for proxies</t>
  </si>
  <si>
    <t>10Y at 70th %ile of history → Gilt carry score 70.</t>
  </si>
  <si>
    <t>Pure rubric on expected RBI path over 12M: Cuts &gt;50bp expected → Gilt 80 / Corporate 60 / Liquid 30. Cuts 25–50bp → 70/58/40. On hold → 50/50/55. Hikes 25–50bp → 30/40/70. Hikes &gt;50bp → 20/35/80.</t>
  </si>
  <si>
    <t>RBI guidance, OIS-implied expectations from bond commentary</t>
  </si>
  <si>
    <t>Market pricing ~50bp cuts → Gilt 70–80, Liquid 30–40.</t>
  </si>
  <si>
    <t>AAA Spread %ile from the rates log (auto). Corporate bucket score = spread %ile AS-IS (wide = paid to take credit). Liquid and Gilt score fixed 50 on this signal (not their driver).</t>
  </si>
  <si>
    <t>Data Trackers rates log</t>
  </si>
  <si>
    <t>AAA spread 65bp = 40th %ile → Corporate scores 40 (tight-ish spreads).</t>
  </si>
  <si>
    <t>Sector satellite signal weights</t>
  </si>
  <si>
    <t>Standing structural rubric, adjusted only in stress: Liquid/Short = 90. Corporate = 65 (drop to 40 if any credit-fund stress episode underway). Gilt = 75 (sovereign, liquid, but volatile).</t>
  </si>
  <si>
    <t>Set-and-forget except in stress</t>
  </si>
  <si>
    <t>Normal times → 90 / 65 / 75.</t>
  </si>
  <si>
    <t>PRECIOUS METALS SPLIT (Gold vs Silver)</t>
  </si>
  <si>
    <t>Sector index P/E-P/B percentile vs 10Y+ history, inverted.</t>
  </si>
  <si>
    <t>VETO ACTIVE? (Y/N)</t>
  </si>
  <si>
    <t>Earnings revisions &amp; momentum</t>
  </si>
  <si>
    <t>N</t>
  </si>
  <si>
    <t>Upgrade breadth and delivery vs estimates — the engine of sector rotation.</t>
  </si>
  <si>
    <t>Ratio %ile computes automatically in the metals log. Silver score = ratio %ile AS-IS (high ratio = silver cheap vs gold). Gold score = 100 − ratio %ile.</t>
  </si>
  <si>
    <t>Data Trackers metals log</t>
  </si>
  <si>
    <t>Ratio at 80th %ile of history → Silver 80, Gold 20.</t>
  </si>
  <si>
    <t>Relative price momentum (6–12M)</t>
  </si>
  <si>
    <t>Vs Nifty; scored as-is.</t>
  </si>
  <si>
    <t>Cycle position</t>
  </si>
  <si>
    <t>Same TIPS 6M-change rubric as L1 metals: falling &gt;50bp → Gold 75, Silver 65. Falling 10–50bp → 60/57. Flat → 50/50. Rising → 40/45. (Gold is the purer real-rates asset.)</t>
  </si>
  <si>
    <t>FRED DFII10</t>
  </si>
  <si>
    <t>Where the sector's own cycle sits (credit cycle for banks, capex for industrials, generic/deal cycle for IT/pharma).</t>
  </si>
  <si>
    <t>TIPS −30bp → Gold 60, Silver 57.</t>
  </si>
  <si>
    <t>Asset class tilt</t>
  </si>
  <si>
    <t>Silver only — Gold always 50. Rubric from global manufacturing PMI: &gt;52 and rising → 70. 50–52 → 55. &lt;50 → 35. Add +5 if solar/EV capex news flow strong.</t>
  </si>
  <si>
    <t>Global manufacturing PMI (widely published monthly)</t>
  </si>
  <si>
    <t>PMI 51.5 → Silver 55, Gold 50.</t>
  </si>
  <si>
    <t>SECTOR SATELLITE (per sector)</t>
  </si>
  <si>
    <t>Bucket</t>
  </si>
  <si>
    <t>Neutral Weight (within group)</t>
  </si>
  <si>
    <t>Composite Score</t>
  </si>
  <si>
    <t>Veto?</t>
  </si>
  <si>
    <t>Tilt (capped)</t>
  </si>
  <si>
    <t>Preliminary</t>
  </si>
  <si>
    <t>FINAL (normalized)</t>
  </si>
  <si>
    <t>vs Neutral</t>
  </si>
  <si>
    <t>Tilt parameters &amp; caps</t>
  </si>
  <si>
    <t>Parameter</t>
  </si>
  <si>
    <t>Sector index (Nifty Bank, Nifty IT, etc.) trailing P/E — or P/B for financials — percentile vs its own 10Y history, INVERTED.</t>
  </si>
  <si>
    <t>Value</t>
  </si>
  <si>
    <t>niftyindices.com sector index data</t>
  </si>
  <si>
    <t>Nifty IT P/E at 25th %ile → score 75 (cheap vs its own past).</t>
  </si>
  <si>
    <t>Max tilt — Level 1 asset classes</t>
  </si>
  <si>
    <t>Asset-class moves are the biggest risk decisions; tightest cap.</t>
  </si>
  <si>
    <t>Sector revision breadth or 3M change in sector consensus EPS, percentile vs history, AS-IS. Add +5 if the last results season showed beats &gt; misses for the sector, −5 if reverse.</t>
  </si>
  <si>
    <t>Broker sector notes; results-season summaries</t>
  </si>
  <si>
    <t>Bank EPS revised +2% in 3M = 62nd %ile, beats&gt;misses → 67.</t>
  </si>
  <si>
    <t>Max tilt — equity segments</t>
  </si>
  <si>
    <t>Average of the sector index's 6M and 12M return minus Nifty's over the same windows; percentile vs history, AS-IS.</t>
  </si>
  <si>
    <t>Index returns, freely available</t>
  </si>
  <si>
    <t>Capital goods +9% vs Nifty over blended 6–12M → 85th %ile → 85.</t>
  </si>
  <si>
    <t>Max tilt — debt buckets</t>
  </si>
  <si>
    <t>Sector-specific rubric, start 50: the sector's own demand cycle turning up with capacity/pricing discipline intact: +15. Mid-cycle: 0. Late-cycle (peak margins, capacity racing in): −15. Regulatory or disruption overhang: −10.</t>
  </si>
  <si>
    <t>Sector-specific: credit growth (banks), deal wins (IT), capex announcements (industrials), volume growth (auto/FMCG)</t>
  </si>
  <si>
    <t>Private capex turning up, utilization high → Capital Goods 65.</t>
  </si>
  <si>
    <t>Max tilt — gold/silver split</t>
  </si>
  <si>
    <t>Sector sleeve cap (% of equity)</t>
  </si>
  <si>
    <t>Hard ceiling on all sectoral exposure combined.</t>
  </si>
  <si>
    <t>Max sectors held simultaneously</t>
  </si>
  <si>
    <t>Concentration limit on the satellite.</t>
  </si>
  <si>
    <t>Practical notes: (1) PERCENTRANK needs history — spend one afternoon seeding the Data Trackers with 5–10 years of monthly values from NSE/RBI/AMFI archives; every percentile in this workbook then computes itself. (2) Rubric scores are deliberately coarse — don't agonize between 55 and 60; the framework only acts at extremes. (3) Where a signal is unobtainable, score it 50 (neutral) rather than guessing — a missing signal should never move the tilt. (4) Keep a one-line note per score at each review recording the raw numbers used, so next review starts from evidence, not memory.</t>
  </si>
  <si>
    <t>Sector qualification threshold (composite)</t>
  </si>
  <si>
    <t>A sector must score at/above this to enter the sleeve at all — empty sleeve is the default state.</t>
  </si>
  <si>
    <t>Veto gates (block overweights only)</t>
  </si>
  <si>
    <t>Gate</t>
  </si>
  <si>
    <t>Trigger</t>
  </si>
  <si>
    <t>Applies to</t>
  </si>
  <si>
    <t>Flow froth</t>
  </si>
  <si>
    <t>Category flows in top decile for 3+ months</t>
  </si>
  <si>
    <t>Any bucket</t>
  </si>
  <si>
    <t>Liquidity</t>
  </si>
  <si>
    <t>2+ AMCs restricting inflows in the category</t>
  </si>
  <si>
    <t>Equity segments, sectors</t>
  </si>
  <si>
    <t>Currency stress</t>
  </si>
  <si>
    <t>Sharp INR episodes</t>
  </si>
  <si>
    <t>International equity</t>
  </si>
  <si>
    <t>Earnings collapse</t>
  </si>
  <si>
    <t>Consensus EPS cut &gt;15% — optically cheap on stale earnings</t>
  </si>
  <si>
    <t>Credit event</t>
  </si>
  <si>
    <t>Default/downgrade cycle underway</t>
  </si>
  <si>
    <t>Corporate debt bucket</t>
  </si>
  <si>
    <t>Parabolic move</t>
  </si>
  <si>
    <t>Metal up &gt;40% in 6 months — chase risk</t>
  </si>
  <si>
    <t>Gold, Silver</t>
  </si>
  <si>
    <t>Total</t>
  </si>
  <si>
    <t>Level 2 — Equity Segments (weights within equity)</t>
  </si>
  <si>
    <t>Level 2 — Debt Buckets (weights within debt)</t>
  </si>
  <si>
    <t>Buckets by duration/credit role. Yield percentiles NOT inverted: high yield vs history = attractive carry.</t>
  </si>
  <si>
    <t>Same conventions. Neutral weights below are % of the EQUITY bucket, not of the portfolio.</t>
  </si>
  <si>
    <t>Liquid / Short</t>
  </si>
  <si>
    <t>Corporate / Medium</t>
  </si>
  <si>
    <t>Gilt / Long</t>
  </si>
  <si>
    <t>Large Cap</t>
  </si>
  <si>
    <t>Mid Cap</t>
  </si>
  <si>
    <t>Small Cap</t>
  </si>
  <si>
    <t>International</t>
  </si>
  <si>
    <t>Bucket tilt (within debt)</t>
  </si>
  <si>
    <t>Y</t>
  </si>
  <si>
    <t>Segment tilt (within equity)</t>
  </si>
  <si>
    <t>Level 2 — Gold vs Silver split</t>
  </si>
  <si>
    <t>Ratio logic: very high gold/silver ratio = silver historically cheap vs gold. Gold scores neutral (50) on industrial demand.</t>
  </si>
  <si>
    <t>Gold</t>
  </si>
  <si>
    <t>Silver</t>
  </si>
  <si>
    <t>Metal tilt (within precious metals)</t>
  </si>
  <si>
    <t>Sector Satellite (caged sleeve within equity)</t>
  </si>
  <si>
    <t>Sectors must clear the qualification threshold to enter at all — the sleeve's default state is EMPTY. Max sectors and sleeve cap set on Weights &amp; Rules.</t>
  </si>
  <si>
    <t>Sector</t>
  </si>
  <si>
    <t>Valuation vs History</t>
  </si>
  <si>
    <t>Earnings Revisions</t>
  </si>
  <si>
    <t>Rel. Momentum</t>
  </si>
  <si>
    <t>Cycle Position</t>
  </si>
  <si>
    <t>Composite</t>
  </si>
  <si>
    <t>Veto? (Y/N)</t>
  </si>
  <si>
    <t>Qualifies?</t>
  </si>
  <si>
    <t>Banking / Financials</t>
  </si>
  <si>
    <t>IT Services</t>
  </si>
  <si>
    <t>Pharma / Healthcare</t>
  </si>
  <si>
    <t>Auto</t>
  </si>
  <si>
    <t>Capital Goods / Infra</t>
  </si>
  <si>
    <t>FMCG / Consumer</t>
  </si>
  <si>
    <t>Energy / Commodities</t>
  </si>
  <si>
    <t>Metals</t>
  </si>
  <si>
    <t>Qualifying sectors (count)</t>
  </si>
  <si>
    <t>Rule: if more sectors qualify than the max, hold only the highest-composite ones. Deployed sleeve = sleeve cap × (sectors held ÷ max sectors), split equally. Enter the chosen sectors on Portfolio Rollup.</t>
  </si>
  <si>
    <t>Portfolio Rollup — Final Allocation</t>
  </si>
  <si>
    <t>All levels multiplied through. Sector sleeve is carved out of equity; core equity segments scale down proportionally when the sleeve deploys.</t>
  </si>
  <si>
    <t>Control</t>
  </si>
  <si>
    <t>Sectors held (0, 1 or 2)</t>
  </si>
  <si>
    <t>Must not exceed qualifying count on Sector Satellite, nor the max sectors rule.</t>
  </si>
  <si>
    <t>Deployed sleeve (% of equity)</t>
  </si>
  <si>
    <t>Sleeve cap × sectors held ÷ max sectors; equal split per sector.</t>
  </si>
  <si>
    <t>Line Item</t>
  </si>
  <si>
    <t>Group Weight</t>
  </si>
  <si>
    <t>Weight Within Group</t>
  </si>
  <si>
    <t>PORTFOLIO WEIGHT</t>
  </si>
  <si>
    <t>Large Cap (core equity)</t>
  </si>
  <si>
    <t>Mid Cap (core equity)</t>
  </si>
  <si>
    <t>Small Cap (core equity)</t>
  </si>
  <si>
    <t>International (core equity)</t>
  </si>
  <si>
    <t>Sector sleeve — Capital Goods / Infra (sample)</t>
  </si>
  <si>
    <t>Sector sleeve — Sector 2 [name]</t>
  </si>
  <si>
    <t>Liquid / Short (debt)</t>
  </si>
  <si>
    <t>Corporate / Medium (debt)</t>
  </si>
  <si>
    <t>Gilt / Long (debt)</t>
  </si>
  <si>
    <t>TOTAL</t>
  </si>
  <si>
    <t>Name the chosen sectors in the sleeve rows (from Sector Satellite qualifiers, highest composite first). If no sector qualifies, set sectors held = 0 and the sleeve returns to core equity automatically.</t>
  </si>
  <si>
    <t>Log monthly. Percentiles build automatically; seed with history where possible (~24+ rows for meaning). High spread/valuation percentile = expensive = LOW attractiveness when scoring; high YIELD percentile = attractive carry (no inversion).</t>
  </si>
  <si>
    <t>Equity valuation log (index P/E, niftyindices.com)</t>
  </si>
  <si>
    <t>Month</t>
  </si>
  <si>
    <t>Nifty 100 P/E</t>
  </si>
  <si>
    <t>Midcap 150 P/E</t>
  </si>
  <si>
    <t>Smallcap 250 P/E</t>
  </si>
  <si>
    <t>Mid–Large Spread</t>
  </si>
  <si>
    <t>Small–Large Spread</t>
  </si>
  <si>
    <t>Mid Spread %ile</t>
  </si>
  <si>
    <t>Small Spread %ile</t>
  </si>
  <si>
    <t>Jan-2026</t>
  </si>
  <si>
    <t>Feb-2026</t>
  </si>
  <si>
    <t>Mar-2026</t>
  </si>
  <si>
    <t>Cadence</t>
  </si>
  <si>
    <t>Activity</t>
  </si>
  <si>
    <t>Frequency</t>
  </si>
  <si>
    <t>Log all four Data Tracker tables</t>
  </si>
  <si>
    <t>Monthly</t>
  </si>
  <si>
    <t>~15 minutes; the percentile history is the asset</t>
  </si>
  <si>
    <t>Veto gate check (all sheets)</t>
  </si>
  <si>
    <t>Flow extremes, AMC restrictions, parabolic metal moves can trigger between reviews</t>
  </si>
  <si>
    <t>Fast review: sector satellite + flows/momentum inputs</t>
  </si>
  <si>
    <t>Quarterly</t>
  </si>
  <si>
    <t>Sectors rotate faster than asset classes</t>
  </si>
  <si>
    <t>Full strategic re-score: L1 + all L2 sheets</t>
  </si>
  <si>
    <t>Semi-annual</t>
  </si>
  <si>
    <t>Implement tilt changes over 4–8 weeks</t>
  </si>
  <si>
    <t>Backtest &amp; weight sensitivity vs historical MF data</t>
  </si>
  <si>
    <t>Annual</t>
  </si>
  <si>
    <t>Do the tilts flip with ±10% weight changes? Fragile = simplify</t>
  </si>
  <si>
    <t>Neutral weight / policy review</t>
  </si>
  <si>
    <t>Risk-profile driven only — never framework-driven</t>
  </si>
  <si>
    <t>Standing rules</t>
  </si>
  <si>
    <t>Rule</t>
  </si>
  <si>
    <t>Action</t>
  </si>
  <si>
    <t>Rationale</t>
  </si>
  <si>
    <t>No tilt changes between reviews on news/price alone</t>
  </si>
  <si>
    <t>Wait for review or veto trigger</t>
  </si>
  <si>
    <t>The framework exists to prevent lurching</t>
  </si>
  <si>
    <t>Vetoes block overweights, never force underweights</t>
  </si>
  <si>
    <t>Cap at zero</t>
  </si>
  <si>
    <t>Risk gates, not signals</t>
  </si>
  <si>
    <t>Sector sleeve empties by default</t>
  </si>
  <si>
    <t>Sectors exit when composite falls below threshold at a quarterly review</t>
  </si>
  <si>
    <t>Sector timing has the worst base rates in this workbook — the cage matters more than the picks</t>
  </si>
  <si>
    <t>A sector exits after 4 consecutive quarters in the sleeve regardless of score</t>
  </si>
  <si>
    <t>Rotate out or re-underwrite from scratch</t>
  </si>
  <si>
    <t>Prevents satellite positions ossifying into permanent holdings</t>
  </si>
  <si>
    <t>Precious metals sleeve is a diversifier, not a bet</t>
  </si>
  <si>
    <t>Neutral ± tilt only; never &gt;2× neutral</t>
  </si>
  <si>
    <t>Gold's job is crisis correlation, not returns</t>
  </si>
  <si>
    <t>Extreme scores (&gt;80 / &lt;20) for two consecutive reviews</t>
  </si>
  <si>
    <t>Allow full-cap tilt</t>
  </si>
  <si>
    <t>Extremes are where the framework earns its keep</t>
  </si>
  <si>
    <t>Rates &amp; credit log (RBI/CCIL, FIMMDA or broker reports)</t>
  </si>
  <si>
    <t>10Y G-sec Yield %</t>
  </si>
  <si>
    <t>Repo Rate %</t>
  </si>
  <si>
    <t>3Y AAA Corp Yield %</t>
  </si>
  <si>
    <t>AAA Spread (bps)</t>
  </si>
  <si>
    <t>10Y Yield %ile</t>
  </si>
  <si>
    <t>Spread %ile</t>
  </si>
  <si>
    <t>Precious metals log</t>
  </si>
  <si>
    <t>Gold ₹/10g</t>
  </si>
  <si>
    <t>Silver ₹/kg</t>
  </si>
  <si>
    <t>Gold/Silver Ratio</t>
  </si>
  <si>
    <t>Gold 12M Return %</t>
  </si>
  <si>
    <t>Ratio %ile</t>
  </si>
  <si>
    <t>Gold Ret %ile</t>
  </si>
  <si>
    <t>Category flow log (AMFI monthly net flows, ₹ crore)</t>
  </si>
  <si>
    <t>Sectoral/Thematic</t>
  </si>
  <si>
    <t>Gold ETF</t>
  </si>
  <si>
    <t>Small Flow %ile</t>
  </si>
  <si>
    <t>Sectoral Flow %ile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</si>
</sst>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0.0"/>
    <numFmt numFmtId="166" formatCode="&quot;+&quot;0.0%;&quot;-&quot;0.0%"/>
  </numFmts>
  <fonts count="16">
    <font>
      <sz val="11.0"/>
      <color rgb="FF000000"/>
      <name val="Calibri"/>
      <scheme val="minor"/>
    </font>
    <font>
      <sz val="11.0"/>
      <color rgb="FF000000"/>
      <name val="Calibri"/>
    </font>
    <font>
      <sz val="12.0"/>
      <color rgb="FF000000"/>
      <name val="Calibri"/>
    </font>
    <font>
      <sz val="14.0"/>
      <color rgb="FF000000"/>
      <name val="Calibri"/>
    </font>
    <font>
      <b/>
      <sz val="14.0"/>
      <color rgb="FF000000"/>
      <name val="Arial"/>
    </font>
    <font>
      <sz val="10.0"/>
      <color rgb="FF000000"/>
      <name val="Arial"/>
    </font>
    <font>
      <b/>
      <sz val="11.0"/>
      <color rgb="FF000000"/>
      <name val="Arial"/>
    </font>
    <font/>
    <font>
      <u/>
      <sz val="12.0"/>
      <color rgb="FF0000FF"/>
      <name val="Calibri"/>
    </font>
    <font>
      <b/>
      <sz val="10.0"/>
      <color rgb="FFFFFFFF"/>
      <name val="Arial"/>
    </font>
    <font>
      <b/>
      <sz val="11.0"/>
      <color rgb="FF1F4E79"/>
      <name val="Arial"/>
    </font>
    <font>
      <sz val="10.0"/>
      <color rgb="FF0000FF"/>
      <name val="Arial"/>
    </font>
    <font>
      <i/>
      <sz val="9.0"/>
      <color rgb="FF000000"/>
      <name val="Arial"/>
    </font>
    <font>
      <sz val="9.0"/>
      <color rgb="FF000000"/>
      <name val="Arial"/>
    </font>
    <font>
      <b/>
      <sz val="10.0"/>
      <color rgb="FF000000"/>
      <name val="Arial"/>
    </font>
    <font>
      <sz val="10.0"/>
      <color rgb="FF008000"/>
      <name val="Arial"/>
    </font>
  </fonts>
  <fills count="8">
    <fill>
      <patternFill patternType="none"/>
    </fill>
    <fill>
      <patternFill patternType="lightGray"/>
    </fill>
    <fill>
      <patternFill patternType="solid">
        <fgColor rgb="FF5E88B1"/>
        <bgColor rgb="FF5E88B1"/>
      </patternFill>
    </fill>
    <fill>
      <patternFill patternType="solid">
        <fgColor rgb="FFEEF3F4"/>
        <bgColor rgb="FFEEF3F4"/>
      </patternFill>
    </fill>
    <fill>
      <patternFill patternType="solid">
        <fgColor rgb="FFFFFFFF"/>
        <bgColor rgb="FFFFFFFF"/>
      </patternFill>
    </fill>
    <fill>
      <patternFill patternType="solid">
        <fgColor rgb="FF1F4E79"/>
        <bgColor rgb="FF1F4E79"/>
      </patternFill>
    </fill>
    <fill>
      <patternFill patternType="solid">
        <fgColor rgb="FFFFFF00"/>
        <bgColor rgb="FFFFFF00"/>
      </patternFill>
    </fill>
    <fill>
      <patternFill patternType="solid">
        <fgColor rgb="FFF2F2F2"/>
        <bgColor rgb="FFF2F2F2"/>
      </patternFill>
    </fill>
  </fills>
  <borders count="13">
    <border/>
    <border>
      <left style="thin">
        <color rgb="FFAAAAAA"/>
      </left>
      <right style="thin">
        <color rgb="FFAAAAAA"/>
      </right>
      <top style="thin">
        <color rgb="FFAAAAAA"/>
      </top>
      <bottom style="thin">
        <color rgb="FFAAAAAA"/>
      </bottom>
    </border>
    <border>
      <left/>
      <right/>
      <top/>
      <bottom/>
    </border>
    <border>
      <left style="thin">
        <color rgb="FFAAAAAA"/>
      </left>
      <right style="thin">
        <color rgb="FFAAAAAA"/>
      </right>
      <top style="thin">
        <color rgb="FFAAAAAA"/>
      </top>
      <bottom style="thin">
        <color rgb="FFBFBFBF"/>
      </bottom>
    </border>
    <border>
      <left style="thin">
        <color rgb="FFAAAAAA"/>
      </left>
      <top style="thin">
        <color rgb="FFAAAAAA"/>
      </top>
      <bottom style="thin">
        <color rgb="FFAAAAAA"/>
      </bottom>
    </border>
    <border>
      <top style="thin">
        <color rgb="FFAAAAAA"/>
      </top>
      <bottom style="thin">
        <color rgb="FFAAAAAA"/>
      </bottom>
    </border>
    <border>
      <right style="thin">
        <color rgb="FFAAAAAA"/>
      </right>
      <top style="thin">
        <color rgb="FFAAAAAA"/>
      </top>
      <bottom style="thin">
        <color rgb="FFAAAAAA"/>
      </bottom>
    </border>
    <border>
      <left style="thin">
        <color rgb="FFBFBFBF"/>
      </left>
      <right style="thin">
        <color rgb="FFBFBFBF"/>
      </right>
      <top style="thin">
        <color rgb="FFBFBFBF"/>
      </top>
      <bottom style="thin">
        <color rgb="FFBFBFBF"/>
      </bottom>
    </border>
    <border>
      <left style="thin">
        <color rgb="FFBFBFBF"/>
      </left>
      <right style="thin">
        <color rgb="FFAAAAAA"/>
      </right>
      <top style="thin">
        <color rgb="FFAAAAAA"/>
      </top>
      <bottom style="thin">
        <color rgb="FFAAAAAA"/>
      </bottom>
    </border>
    <border>
      <left style="thin">
        <color rgb="FFAAAAAA"/>
      </left>
      <right style="thin">
        <color rgb="FFAAAAAA"/>
      </right>
      <top style="thin">
        <color rgb="FFBFBFBF"/>
      </top>
      <bottom style="thin">
        <color rgb="FFBFBFBF"/>
      </bottom>
    </border>
    <border>
      <left style="thin">
        <color rgb="FFBFBFBF"/>
      </left>
      <right style="thin">
        <color rgb="FFAAAAAA"/>
      </right>
      <top style="thin">
        <color rgb="FFBFBFBF"/>
      </top>
      <bottom style="thin">
        <color rgb="FFAAAAAA"/>
      </bottom>
    </border>
    <border>
      <left style="thin">
        <color rgb="FFAAAAAA"/>
      </left>
      <right style="thin">
        <color rgb="FFAAAAAA"/>
      </right>
      <top style="thin">
        <color rgb="FFBFBFBF"/>
      </top>
      <bottom style="thin">
        <color rgb="FFAAAAAA"/>
      </bottom>
    </border>
    <border>
      <left style="thin">
        <color rgb="FFAAAAAA"/>
      </left>
      <right style="thin">
        <color rgb="FFBFBFBF"/>
      </right>
      <top style="thin">
        <color rgb="FFBFBFBF"/>
      </top>
      <bottom style="thin">
        <color rgb="FFAAAAAA"/>
      </bottom>
    </border>
  </borders>
  <cellStyleXfs count="1">
    <xf borderId="0" fillId="0" fontId="0" numFmtId="0" applyAlignment="1" applyFont="1"/>
  </cellStyleXfs>
  <cellXfs count="73">
    <xf borderId="0" fillId="0" fontId="0" numFmtId="0" xfId="0" applyAlignment="1" applyFont="1">
      <alignment readingOrder="0" shrinkToFit="0" vertical="bottom" wrapText="0"/>
    </xf>
    <xf borderId="1" fillId="0" fontId="1" numFmtId="0" xfId="0" applyAlignment="1" applyBorder="1" applyFont="1">
      <alignment vertical="bottom"/>
    </xf>
    <xf borderId="0" fillId="0" fontId="2" numFmtId="0" xfId="0" applyAlignment="1" applyFont="1">
      <alignment horizontal="left" shrinkToFit="0" vertical="bottom" wrapText="1"/>
    </xf>
    <xf borderId="0" fillId="0" fontId="1" numFmtId="0" xfId="0" applyAlignment="1" applyFont="1">
      <alignment vertical="bottom"/>
    </xf>
    <xf borderId="0" fillId="0" fontId="3" numFmtId="0" xfId="0" applyAlignment="1" applyFont="1">
      <alignment horizontal="left" vertical="bottom"/>
    </xf>
    <xf borderId="2" fillId="2" fontId="2" numFmtId="0" xfId="0" applyAlignment="1" applyBorder="1" applyFill="1" applyFont="1">
      <alignment horizontal="left" vertical="bottom"/>
    </xf>
    <xf borderId="1" fillId="0" fontId="4" numFmtId="49" xfId="0" applyAlignment="1" applyBorder="1" applyFont="1" applyNumberFormat="1">
      <alignment vertical="bottom"/>
    </xf>
    <xf borderId="2" fillId="3" fontId="2" numFmtId="0" xfId="0" applyAlignment="1" applyBorder="1" applyFill="1" applyFont="1">
      <alignment horizontal="left" vertical="bottom"/>
    </xf>
    <xf borderId="1" fillId="4" fontId="5" numFmtId="0" xfId="0" applyAlignment="1" applyBorder="1" applyFill="1" applyFont="1">
      <alignment shrinkToFit="0" vertical="top" wrapText="1"/>
    </xf>
    <xf borderId="3" fillId="0" fontId="6" numFmtId="49" xfId="0" applyAlignment="1" applyBorder="1" applyFont="1" applyNumberFormat="1">
      <alignment vertical="bottom"/>
    </xf>
    <xf borderId="4" fillId="4" fontId="5" numFmtId="49" xfId="0" applyAlignment="1" applyBorder="1" applyFill="1" applyFont="1" applyNumberFormat="1">
      <alignment shrinkToFit="0" vertical="top" wrapText="1"/>
    </xf>
    <xf borderId="5" fillId="0" fontId="7" numFmtId="0" xfId="0" applyBorder="1" applyFont="1"/>
    <xf borderId="3" fillId="0" fontId="1" numFmtId="0" xfId="0" applyAlignment="1" applyBorder="1" applyFont="1">
      <alignment vertical="bottom"/>
    </xf>
    <xf borderId="2" fillId="3" fontId="8" numFmtId="0" xfId="0" applyAlignment="1" applyBorder="1" applyFill="1" applyFont="1">
      <alignment horizontal="left" vertical="bottom"/>
    </xf>
    <xf borderId="6" fillId="0" fontId="7" numFmtId="0" xfId="0" applyBorder="1" applyFont="1"/>
    <xf borderId="1" fillId="4" fontId="6" numFmtId="49" xfId="0" applyAlignment="1" applyBorder="1" applyFill="1" applyFont="1" applyNumberFormat="1">
      <alignment shrinkToFit="0" vertical="top" wrapText="1"/>
    </xf>
    <xf borderId="7" fillId="5" fontId="9" numFmtId="49" xfId="0" applyAlignment="1" applyBorder="1" applyFill="1" applyFont="1" applyNumberFormat="1">
      <alignment horizontal="center" shrinkToFit="0" vertical="center" wrapText="1"/>
    </xf>
    <xf borderId="1" fillId="4" fontId="5" numFmtId="49" xfId="0" applyAlignment="1" applyBorder="1" applyFill="1" applyFont="1" applyNumberFormat="1">
      <alignment shrinkToFit="0" vertical="top" wrapText="1"/>
    </xf>
    <xf borderId="8" fillId="0" fontId="1" numFmtId="0" xfId="0" applyAlignment="1" applyBorder="1" applyFont="1">
      <alignment vertical="bottom"/>
    </xf>
    <xf borderId="3" fillId="0" fontId="10" numFmtId="49" xfId="0" applyAlignment="1" applyBorder="1" applyFont="1" applyNumberFormat="1">
      <alignment vertical="bottom"/>
    </xf>
    <xf borderId="7" fillId="4" fontId="5" numFmtId="49" xfId="0" applyAlignment="1" applyBorder="1" applyFill="1" applyFont="1" applyNumberFormat="1">
      <alignment shrinkToFit="0" vertical="top" wrapText="1"/>
    </xf>
    <xf borderId="7" fillId="6" fontId="11" numFmtId="164" xfId="0" applyAlignment="1" applyBorder="1" applyFill="1" applyFont="1" applyNumberFormat="1">
      <alignment vertical="bottom"/>
    </xf>
    <xf borderId="7" fillId="5" fontId="9" numFmtId="49" xfId="0" applyAlignment="1" applyBorder="1" applyFill="1" applyFont="1" applyNumberFormat="1">
      <alignment shrinkToFit="0" vertical="top" wrapText="1"/>
    </xf>
    <xf borderId="7" fillId="4" fontId="12" numFmtId="49" xfId="0" applyAlignment="1" applyBorder="1" applyFill="1" applyFont="1" applyNumberFormat="1">
      <alignment shrinkToFit="0" vertical="top" wrapText="1"/>
    </xf>
    <xf borderId="7" fillId="7" fontId="5" numFmtId="49" xfId="0" applyAlignment="1" applyBorder="1" applyFill="1" applyFont="1" applyNumberFormat="1">
      <alignment shrinkToFit="0" vertical="top" wrapText="1"/>
    </xf>
    <xf borderId="7" fillId="7" fontId="13" numFmtId="49" xfId="0" applyAlignment="1" applyBorder="1" applyFill="1" applyFont="1" applyNumberFormat="1">
      <alignment shrinkToFit="0" vertical="top" wrapText="1"/>
    </xf>
    <xf borderId="7" fillId="4" fontId="13" numFmtId="49" xfId="0" applyAlignment="1" applyBorder="1" applyFill="1" applyFont="1" applyNumberFormat="1">
      <alignment shrinkToFit="0" vertical="top" wrapText="1"/>
    </xf>
    <xf borderId="7" fillId="0" fontId="14" numFmtId="49" xfId="0" applyAlignment="1" applyBorder="1" applyFont="1" applyNumberFormat="1">
      <alignment vertical="bottom"/>
    </xf>
    <xf borderId="9" fillId="0" fontId="10" numFmtId="49" xfId="0" applyAlignment="1" applyBorder="1" applyFont="1" applyNumberFormat="1">
      <alignment vertical="bottom"/>
    </xf>
    <xf borderId="7" fillId="0" fontId="14" numFmtId="164" xfId="0" applyAlignment="1" applyBorder="1" applyFont="1" applyNumberFormat="1">
      <alignment vertical="bottom"/>
    </xf>
    <xf borderId="9" fillId="0" fontId="1" numFmtId="0" xfId="0" applyAlignment="1" applyBorder="1" applyFont="1">
      <alignment vertical="bottom"/>
    </xf>
    <xf borderId="10" fillId="0" fontId="1" numFmtId="0" xfId="0" applyAlignment="1" applyBorder="1" applyFont="1">
      <alignment vertical="bottom"/>
    </xf>
    <xf borderId="11" fillId="0" fontId="1" numFmtId="0" xfId="0" applyAlignment="1" applyBorder="1" applyFont="1">
      <alignment vertical="bottom"/>
    </xf>
    <xf borderId="1" fillId="0" fontId="12" numFmtId="49" xfId="0" applyAlignment="1" applyBorder="1" applyFont="1" applyNumberFormat="1">
      <alignment vertical="bottom"/>
    </xf>
    <xf borderId="7" fillId="4" fontId="11" numFmtId="1" xfId="0" applyAlignment="1" applyBorder="1" applyFill="1" applyFont="1" applyNumberFormat="1">
      <alignment horizontal="center" vertical="center"/>
    </xf>
    <xf borderId="7" fillId="0" fontId="1" numFmtId="0" xfId="0" applyAlignment="1" applyBorder="1" applyFont="1">
      <alignment vertical="bottom"/>
    </xf>
    <xf borderId="7" fillId="4" fontId="14" numFmtId="165" xfId="0" applyAlignment="1" applyBorder="1" applyFill="1" applyFont="1" applyNumberFormat="1">
      <alignment horizontal="center" vertical="center"/>
    </xf>
    <xf borderId="7" fillId="4" fontId="11" numFmtId="49" xfId="0" applyAlignment="1" applyBorder="1" applyFill="1" applyFont="1" applyNumberFormat="1">
      <alignment horizontal="center" vertical="center"/>
    </xf>
    <xf borderId="7" fillId="0" fontId="5" numFmtId="49" xfId="0" applyAlignment="1" applyBorder="1" applyFont="1" applyNumberFormat="1">
      <alignment vertical="bottom"/>
    </xf>
    <xf borderId="7" fillId="0" fontId="15" numFmtId="165" xfId="0" applyAlignment="1" applyBorder="1" applyFont="1" applyNumberFormat="1">
      <alignment vertical="bottom"/>
    </xf>
    <xf borderId="7" fillId="4" fontId="15" numFmtId="49" xfId="0" applyAlignment="1" applyBorder="1" applyFill="1" applyFont="1" applyNumberFormat="1">
      <alignment horizontal="center" vertical="center"/>
    </xf>
    <xf borderId="7" fillId="4" fontId="12" numFmtId="0" xfId="0" applyAlignment="1" applyBorder="1" applyFill="1" applyFont="1">
      <alignment shrinkToFit="0" vertical="top" wrapText="1"/>
    </xf>
    <xf borderId="7" fillId="0" fontId="5" numFmtId="164" xfId="0" applyAlignment="1" applyBorder="1" applyFont="1" applyNumberFormat="1">
      <alignment vertical="bottom"/>
    </xf>
    <xf borderId="7" fillId="6" fontId="11" numFmtId="0" xfId="0" applyAlignment="1" applyBorder="1" applyFill="1" applyFont="1">
      <alignment vertical="bottom"/>
    </xf>
    <xf borderId="4" fillId="4" fontId="12" numFmtId="49" xfId="0" applyAlignment="1" applyBorder="1" applyFill="1" applyFont="1" applyNumberFormat="1">
      <alignment shrinkToFit="0" vertical="top" wrapText="1"/>
    </xf>
    <xf borderId="7" fillId="0" fontId="5" numFmtId="166" xfId="0" applyAlignment="1" applyBorder="1" applyFont="1" applyNumberFormat="1">
      <alignment vertical="bottom"/>
    </xf>
    <xf borderId="12" fillId="0" fontId="1" numFmtId="0" xfId="0" applyAlignment="1" applyBorder="1" applyFont="1">
      <alignment vertical="bottom"/>
    </xf>
    <xf borderId="1" fillId="4" fontId="12" numFmtId="49" xfId="0" applyAlignment="1" applyBorder="1" applyFill="1" applyFont="1" applyNumberFormat="1">
      <alignment shrinkToFit="0" vertical="top" wrapText="1"/>
    </xf>
    <xf borderId="7" fillId="0" fontId="11" numFmtId="49" xfId="0" applyAlignment="1" applyBorder="1" applyFont="1" applyNumberFormat="1">
      <alignment vertical="bottom"/>
    </xf>
    <xf borderId="7" fillId="4" fontId="5" numFmtId="165" xfId="0" applyAlignment="1" applyBorder="1" applyFill="1" applyFont="1" applyNumberFormat="1">
      <alignment horizontal="center" vertical="center"/>
    </xf>
    <xf borderId="7" fillId="4" fontId="5" numFmtId="49" xfId="0" applyAlignment="1" applyBorder="1" applyFill="1" applyFont="1" applyNumberFormat="1">
      <alignment horizontal="center" vertical="center"/>
    </xf>
    <xf borderId="7" fillId="7" fontId="11" numFmtId="49" xfId="0" applyAlignment="1" applyBorder="1" applyFill="1" applyFont="1" applyNumberFormat="1">
      <alignment vertical="bottom"/>
    </xf>
    <xf borderId="7" fillId="7" fontId="11" numFmtId="1" xfId="0" applyAlignment="1" applyBorder="1" applyFill="1" applyFont="1" applyNumberFormat="1">
      <alignment horizontal="center" vertical="center"/>
    </xf>
    <xf borderId="7" fillId="7" fontId="5" numFmtId="165" xfId="0" applyAlignment="1" applyBorder="1" applyFill="1" applyFont="1" applyNumberFormat="1">
      <alignment horizontal="center" vertical="center"/>
    </xf>
    <xf borderId="7" fillId="7" fontId="11" numFmtId="49" xfId="0" applyAlignment="1" applyBorder="1" applyFill="1" applyFont="1" applyNumberFormat="1">
      <alignment horizontal="center" vertical="center"/>
    </xf>
    <xf borderId="7" fillId="7" fontId="5" numFmtId="49" xfId="0" applyAlignment="1" applyBorder="1" applyFill="1" applyFont="1" applyNumberFormat="1">
      <alignment horizontal="center" vertical="center"/>
    </xf>
    <xf borderId="7" fillId="4" fontId="5" numFmtId="0" xfId="0" applyAlignment="1" applyBorder="1" applyFill="1" applyFont="1">
      <alignment horizontal="center" vertical="center"/>
    </xf>
    <xf borderId="8" fillId="0" fontId="12" numFmtId="49" xfId="0" applyAlignment="1" applyBorder="1" applyFont="1" applyNumberFormat="1">
      <alignment vertical="bottom"/>
    </xf>
    <xf borderId="7" fillId="0" fontId="12" numFmtId="49" xfId="0" applyAlignment="1" applyBorder="1" applyFont="1" applyNumberFormat="1">
      <alignment vertical="bottom"/>
    </xf>
    <xf borderId="7" fillId="0" fontId="15" numFmtId="164" xfId="0" applyAlignment="1" applyBorder="1" applyFont="1" applyNumberFormat="1">
      <alignment vertical="bottom"/>
    </xf>
    <xf borderId="7" fillId="7" fontId="5" numFmtId="49" xfId="0" applyAlignment="1" applyBorder="1" applyFill="1" applyFont="1" applyNumberFormat="1">
      <alignment vertical="bottom"/>
    </xf>
    <xf borderId="7" fillId="7" fontId="15" numFmtId="164" xfId="0" applyAlignment="1" applyBorder="1" applyFill="1" applyFont="1" applyNumberFormat="1">
      <alignment vertical="bottom"/>
    </xf>
    <xf borderId="7" fillId="7" fontId="5" numFmtId="164" xfId="0" applyAlignment="1" applyBorder="1" applyFill="1" applyFont="1" applyNumberFormat="1">
      <alignment vertical="bottom"/>
    </xf>
    <xf borderId="7" fillId="7" fontId="14" numFmtId="164" xfId="0" applyAlignment="1" applyBorder="1" applyFill="1" applyFont="1" applyNumberFormat="1">
      <alignment vertical="bottom"/>
    </xf>
    <xf borderId="7" fillId="7" fontId="1" numFmtId="0" xfId="0" applyAlignment="1" applyBorder="1" applyFill="1" applyFont="1">
      <alignment vertical="bottom"/>
    </xf>
    <xf borderId="7" fillId="0" fontId="11" numFmtId="2" xfId="0" applyAlignment="1" applyBorder="1" applyFont="1" applyNumberFormat="1">
      <alignment vertical="bottom"/>
    </xf>
    <xf borderId="7" fillId="0" fontId="5" numFmtId="1" xfId="0" applyAlignment="1" applyBorder="1" applyFont="1" applyNumberFormat="1">
      <alignment vertical="bottom"/>
    </xf>
    <xf borderId="7" fillId="7" fontId="11" numFmtId="2" xfId="0" applyAlignment="1" applyBorder="1" applyFill="1" applyFont="1" applyNumberFormat="1">
      <alignment vertical="bottom"/>
    </xf>
    <xf borderId="7" fillId="7" fontId="5" numFmtId="1" xfId="0" applyAlignment="1" applyBorder="1" applyFill="1" applyFont="1" applyNumberFormat="1">
      <alignment vertical="bottom"/>
    </xf>
    <xf borderId="7" fillId="7" fontId="11" numFmtId="0" xfId="0" applyAlignment="1" applyBorder="1" applyFill="1" applyFont="1">
      <alignment vertical="bottom"/>
    </xf>
    <xf borderId="7" fillId="0" fontId="11" numFmtId="0" xfId="0" applyAlignment="1" applyBorder="1" applyFont="1">
      <alignment vertical="bottom"/>
    </xf>
    <xf borderId="7" fillId="4" fontId="1" numFmtId="49" xfId="0" applyAlignment="1" applyBorder="1" applyFill="1" applyFont="1" applyNumberFormat="1">
      <alignment shrinkToFit="0" vertical="top" wrapText="1"/>
    </xf>
    <xf borderId="7" fillId="4" fontId="11" numFmtId="49" xfId="0" applyAlignment="1" applyBorder="1" applyFill="1" applyFont="1" applyNumberForma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showGridLines="0" workbookViewId="0"/>
  </sheetViews>
  <sheetFormatPr customHeight="1" defaultColWidth="14.43" defaultRowHeight="15.0"/>
  <cols>
    <col customWidth="1" min="1" max="1" width="2.0"/>
    <col customWidth="1" min="2" max="4" width="30.57"/>
    <col customWidth="1" min="5" max="26" width="10.0"/>
  </cols>
  <sheetData>
    <row r="1" ht="12.75" customHeight="1"/>
    <row r="2" ht="12.75" customHeight="1"/>
    <row r="3" ht="49.5" customHeight="1">
      <c r="B3" s="2" t="s">
        <v>0</v>
      </c>
    </row>
    <row r="4" ht="12.75" customHeight="1"/>
    <row r="5" ht="12.75" customHeight="1"/>
    <row r="6" ht="12.75" customHeight="1"/>
    <row r="7" ht="12.75" customHeight="1">
      <c r="B7" s="4" t="s">
        <v>1</v>
      </c>
      <c r="C7" s="4" t="s">
        <v>2</v>
      </c>
      <c r="D7" s="4" t="s">
        <v>3</v>
      </c>
    </row>
    <row r="8" ht="12.75" customHeight="1"/>
    <row r="9" ht="12.75" customHeight="1">
      <c r="B9" s="5" t="s">
        <v>4</v>
      </c>
      <c r="C9" s="5"/>
      <c r="D9" s="5"/>
    </row>
    <row r="10" ht="12.75" customHeight="1">
      <c r="B10" s="7"/>
      <c r="C10" s="7" t="s">
        <v>8</v>
      </c>
      <c r="D10" s="13" t="s">
        <v>4</v>
      </c>
    </row>
    <row r="11" ht="12.75" customHeight="1">
      <c r="B11" s="5" t="s">
        <v>6</v>
      </c>
      <c r="C11" s="5"/>
      <c r="D11" s="5"/>
    </row>
    <row r="12" ht="12.75" customHeight="1">
      <c r="B12" s="7"/>
      <c r="C12" s="7" t="s">
        <v>8</v>
      </c>
      <c r="D12" s="13" t="s">
        <v>6</v>
      </c>
    </row>
    <row r="13" ht="12.75" customHeight="1">
      <c r="B13" s="5" t="s">
        <v>15</v>
      </c>
      <c r="C13" s="5"/>
      <c r="D13" s="5"/>
    </row>
    <row r="14" ht="12.75" customHeight="1">
      <c r="B14" s="7"/>
      <c r="C14" s="7" t="s">
        <v>8</v>
      </c>
      <c r="D14" s="13" t="s">
        <v>15</v>
      </c>
    </row>
    <row r="15" ht="12.75" customHeight="1">
      <c r="B15" s="5" t="s">
        <v>18</v>
      </c>
      <c r="C15" s="5"/>
      <c r="D15" s="5"/>
    </row>
    <row r="16" ht="12.75" customHeight="1">
      <c r="B16" s="7"/>
      <c r="C16" s="7" t="s">
        <v>8</v>
      </c>
      <c r="D16" s="13" t="s">
        <v>18</v>
      </c>
    </row>
    <row r="17" ht="12.75" customHeight="1">
      <c r="B17" s="5" t="s">
        <v>22</v>
      </c>
      <c r="C17" s="5"/>
      <c r="D17" s="5"/>
    </row>
    <row r="18" ht="12.75" customHeight="1">
      <c r="B18" s="7"/>
      <c r="C18" s="7" t="s">
        <v>8</v>
      </c>
      <c r="D18" s="13" t="s">
        <v>22</v>
      </c>
    </row>
    <row r="19" ht="12.75" customHeight="1">
      <c r="B19" s="5" t="s">
        <v>25</v>
      </c>
      <c r="C19" s="5"/>
      <c r="D19" s="5"/>
    </row>
    <row r="20" ht="12.75" customHeight="1">
      <c r="B20" s="7"/>
      <c r="C20" s="7" t="s">
        <v>8</v>
      </c>
      <c r="D20" s="13" t="s">
        <v>25</v>
      </c>
    </row>
    <row r="21" ht="12.75" customHeight="1">
      <c r="B21" s="5" t="s">
        <v>32</v>
      </c>
      <c r="C21" s="5"/>
      <c r="D21" s="5"/>
    </row>
    <row r="22" ht="12.75" customHeight="1">
      <c r="B22" s="7"/>
      <c r="C22" s="7" t="s">
        <v>8</v>
      </c>
      <c r="D22" s="13" t="s">
        <v>32</v>
      </c>
    </row>
    <row r="23" ht="12.75" customHeight="1">
      <c r="B23" s="5" t="s">
        <v>35</v>
      </c>
      <c r="C23" s="5"/>
      <c r="D23" s="5"/>
    </row>
    <row r="24" ht="12.75" customHeight="1">
      <c r="B24" s="7"/>
      <c r="C24" s="7" t="s">
        <v>8</v>
      </c>
      <c r="D24" s="13" t="s">
        <v>35</v>
      </c>
    </row>
    <row r="25" ht="12.75" customHeight="1">
      <c r="B25" s="5" t="s">
        <v>42</v>
      </c>
      <c r="C25" s="5"/>
      <c r="D25" s="5"/>
    </row>
    <row r="26" ht="12.75" customHeight="1">
      <c r="B26" s="7"/>
      <c r="C26" s="7" t="s">
        <v>8</v>
      </c>
      <c r="D26" s="13" t="s">
        <v>42</v>
      </c>
    </row>
    <row r="27" ht="12.75" customHeight="1">
      <c r="B27" s="5" t="s">
        <v>46</v>
      </c>
      <c r="C27" s="5"/>
      <c r="D27" s="5"/>
    </row>
    <row r="28" ht="12.75" customHeight="1">
      <c r="B28" s="7"/>
      <c r="C28" s="7" t="s">
        <v>8</v>
      </c>
      <c r="D28" s="13" t="s">
        <v>46</v>
      </c>
    </row>
    <row r="29" ht="12.75" customHeight="1">
      <c r="B29" s="5" t="s">
        <v>51</v>
      </c>
      <c r="C29" s="5"/>
      <c r="D29" s="5"/>
    </row>
    <row r="30" ht="12.75" customHeight="1">
      <c r="B30" s="7"/>
      <c r="C30" s="7" t="s">
        <v>8</v>
      </c>
      <c r="D30" s="13" t="s">
        <v>51</v>
      </c>
    </row>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B3:D3"/>
  </mergeCells>
  <hyperlinks>
    <hyperlink display="README" location="README!R1C1" ref="D10"/>
    <hyperlink display="Weights &amp; Rules" location="'Weights &amp; Rules'!R1C1" ref="D12"/>
    <hyperlink display="Calculation Guide" location="'Calculation Guide'!R1C1" ref="D14"/>
    <hyperlink display="L1 Asset Classes" location="'L1 Asset Classes'!R1C1" ref="D16"/>
    <hyperlink display="Equity Segments" location="'Equity Segments'!R1C1" ref="D18"/>
    <hyperlink display="Debt Buckets" location="'Debt Buckets'!R1C1" ref="D20"/>
    <hyperlink display="Precious Metals" location="'Precious Metals'!R1C1" ref="D22"/>
    <hyperlink display="Sector Satellite" location="'Sector Satellite'!R1C1" ref="D24"/>
    <hyperlink display="Portfolio Rollup" location="'Portfolio Rollup'!R1C1" ref="D26"/>
    <hyperlink display="Data Trackers" location="'Data Trackers'!R1C1" ref="D28"/>
    <hyperlink display="Monitoring &amp; Review" location="'Monitoring &amp; Review'!R1C1" ref="D30"/>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114.0"/>
    <col customWidth="1" min="3" max="26" width="8.71"/>
  </cols>
  <sheetData>
    <row r="1" ht="13.5" customHeight="1">
      <c r="A1" s="1"/>
      <c r="B1" s="1"/>
      <c r="C1" s="1"/>
      <c r="D1" s="1"/>
      <c r="E1" s="1"/>
      <c r="F1" s="3"/>
      <c r="G1" s="3"/>
      <c r="H1" s="3"/>
      <c r="I1" s="3"/>
      <c r="J1" s="3"/>
      <c r="K1" s="3"/>
      <c r="L1" s="3"/>
      <c r="M1" s="3"/>
      <c r="N1" s="3"/>
      <c r="O1" s="3"/>
      <c r="P1" s="3"/>
      <c r="Q1" s="3"/>
      <c r="R1" s="3"/>
      <c r="S1" s="3"/>
      <c r="T1" s="3"/>
      <c r="U1" s="3"/>
      <c r="V1" s="3"/>
      <c r="W1" s="3"/>
      <c r="X1" s="3"/>
      <c r="Y1" s="3"/>
      <c r="Z1" s="3"/>
    </row>
    <row r="2" ht="17.25" customHeight="1">
      <c r="A2" s="1"/>
      <c r="B2" s="6" t="s">
        <v>5</v>
      </c>
      <c r="C2" s="1"/>
      <c r="D2" s="1"/>
      <c r="E2" s="1"/>
      <c r="F2" s="3"/>
      <c r="G2" s="3"/>
      <c r="H2" s="3"/>
      <c r="I2" s="3"/>
      <c r="J2" s="3"/>
      <c r="K2" s="3"/>
      <c r="L2" s="3"/>
      <c r="M2" s="3"/>
      <c r="N2" s="3"/>
      <c r="O2" s="3"/>
      <c r="P2" s="3"/>
      <c r="Q2" s="3"/>
      <c r="R2" s="3"/>
      <c r="S2" s="3"/>
      <c r="T2" s="3"/>
      <c r="U2" s="3"/>
      <c r="V2" s="3"/>
      <c r="W2" s="3"/>
      <c r="X2" s="3"/>
      <c r="Y2" s="3"/>
      <c r="Z2" s="3"/>
    </row>
    <row r="3" ht="15.0" customHeight="1">
      <c r="A3" s="1"/>
      <c r="B3" s="8"/>
      <c r="C3" s="1"/>
      <c r="D3" s="1"/>
      <c r="E3" s="1"/>
      <c r="F3" s="3"/>
      <c r="G3" s="3"/>
      <c r="H3" s="3"/>
      <c r="I3" s="3"/>
      <c r="J3" s="3"/>
      <c r="K3" s="3"/>
      <c r="L3" s="3"/>
      <c r="M3" s="3"/>
      <c r="N3" s="3"/>
      <c r="O3" s="3"/>
      <c r="P3" s="3"/>
      <c r="Q3" s="3"/>
      <c r="R3" s="3"/>
      <c r="S3" s="3"/>
      <c r="T3" s="3"/>
      <c r="U3" s="3"/>
      <c r="V3" s="3"/>
      <c r="W3" s="3"/>
      <c r="X3" s="3"/>
      <c r="Y3" s="3"/>
      <c r="Z3" s="3"/>
    </row>
    <row r="4" ht="15.0" customHeight="1">
      <c r="A4" s="1"/>
      <c r="B4" s="15" t="s">
        <v>11</v>
      </c>
      <c r="C4" s="1"/>
      <c r="D4" s="1"/>
      <c r="E4" s="1"/>
      <c r="F4" s="3"/>
      <c r="G4" s="3"/>
      <c r="H4" s="3"/>
      <c r="I4" s="3"/>
      <c r="J4" s="3"/>
      <c r="K4" s="3"/>
      <c r="L4" s="3"/>
      <c r="M4" s="3"/>
      <c r="N4" s="3"/>
      <c r="O4" s="3"/>
      <c r="P4" s="3"/>
      <c r="Q4" s="3"/>
      <c r="R4" s="3"/>
      <c r="S4" s="3"/>
      <c r="T4" s="3"/>
      <c r="U4" s="3"/>
      <c r="V4" s="3"/>
      <c r="W4" s="3"/>
      <c r="X4" s="3"/>
      <c r="Y4" s="3"/>
      <c r="Z4" s="3"/>
    </row>
    <row r="5" ht="45.75" customHeight="1">
      <c r="A5" s="1"/>
      <c r="B5" s="17" t="s">
        <v>13</v>
      </c>
      <c r="C5" s="1"/>
      <c r="D5" s="1"/>
      <c r="E5" s="1"/>
      <c r="F5" s="3"/>
      <c r="G5" s="3"/>
      <c r="H5" s="3"/>
      <c r="I5" s="3"/>
      <c r="J5" s="3"/>
      <c r="K5" s="3"/>
      <c r="L5" s="3"/>
      <c r="M5" s="3"/>
      <c r="N5" s="3"/>
      <c r="O5" s="3"/>
      <c r="P5" s="3"/>
      <c r="Q5" s="3"/>
      <c r="R5" s="3"/>
      <c r="S5" s="3"/>
      <c r="T5" s="3"/>
      <c r="U5" s="3"/>
      <c r="V5" s="3"/>
      <c r="W5" s="3"/>
      <c r="X5" s="3"/>
      <c r="Y5" s="3"/>
      <c r="Z5" s="3"/>
    </row>
    <row r="6" ht="15.0" customHeight="1">
      <c r="A6" s="1"/>
      <c r="B6" s="8"/>
      <c r="C6" s="1"/>
      <c r="D6" s="1"/>
      <c r="E6" s="1"/>
      <c r="F6" s="3"/>
      <c r="G6" s="3"/>
      <c r="H6" s="3"/>
      <c r="I6" s="3"/>
      <c r="J6" s="3"/>
      <c r="K6" s="3"/>
      <c r="L6" s="3"/>
      <c r="M6" s="3"/>
      <c r="N6" s="3"/>
      <c r="O6" s="3"/>
      <c r="P6" s="3"/>
      <c r="Q6" s="3"/>
      <c r="R6" s="3"/>
      <c r="S6" s="3"/>
      <c r="T6" s="3"/>
      <c r="U6" s="3"/>
      <c r="V6" s="3"/>
      <c r="W6" s="3"/>
      <c r="X6" s="3"/>
      <c r="Y6" s="3"/>
      <c r="Z6" s="3"/>
    </row>
    <row r="7" ht="15.0" customHeight="1">
      <c r="A7" s="1"/>
      <c r="B7" s="15" t="s">
        <v>19</v>
      </c>
      <c r="C7" s="1"/>
      <c r="D7" s="1"/>
      <c r="E7" s="1"/>
      <c r="F7" s="3"/>
      <c r="G7" s="3"/>
      <c r="H7" s="3"/>
      <c r="I7" s="3"/>
      <c r="J7" s="3"/>
      <c r="K7" s="3"/>
      <c r="L7" s="3"/>
      <c r="M7" s="3"/>
      <c r="N7" s="3"/>
      <c r="O7" s="3"/>
      <c r="P7" s="3"/>
      <c r="Q7" s="3"/>
      <c r="R7" s="3"/>
      <c r="S7" s="3"/>
      <c r="T7" s="3"/>
      <c r="U7" s="3"/>
      <c r="V7" s="3"/>
      <c r="W7" s="3"/>
      <c r="X7" s="3"/>
      <c r="Y7" s="3"/>
      <c r="Z7" s="3"/>
    </row>
    <row r="8" ht="23.25" customHeight="1">
      <c r="A8" s="1"/>
      <c r="B8" s="17" t="s">
        <v>21</v>
      </c>
      <c r="C8" s="1"/>
      <c r="D8" s="1"/>
      <c r="E8" s="1"/>
      <c r="F8" s="3"/>
      <c r="G8" s="3"/>
      <c r="H8" s="3"/>
      <c r="I8" s="3"/>
      <c r="J8" s="3"/>
      <c r="K8" s="3"/>
      <c r="L8" s="3"/>
      <c r="M8" s="3"/>
      <c r="N8" s="3"/>
      <c r="O8" s="3"/>
      <c r="P8" s="3"/>
      <c r="Q8" s="3"/>
      <c r="R8" s="3"/>
      <c r="S8" s="3"/>
      <c r="T8" s="3"/>
      <c r="U8" s="3"/>
      <c r="V8" s="3"/>
      <c r="W8" s="3"/>
      <c r="X8" s="3"/>
      <c r="Y8" s="3"/>
      <c r="Z8" s="3"/>
    </row>
    <row r="9" ht="34.5" customHeight="1">
      <c r="A9" s="1"/>
      <c r="B9" s="17" t="s">
        <v>23</v>
      </c>
      <c r="C9" s="1"/>
      <c r="D9" s="1"/>
      <c r="E9" s="1"/>
      <c r="F9" s="3"/>
      <c r="G9" s="3"/>
      <c r="H9" s="3"/>
      <c r="I9" s="3"/>
      <c r="J9" s="3"/>
      <c r="K9" s="3"/>
      <c r="L9" s="3"/>
      <c r="M9" s="3"/>
      <c r="N9" s="3"/>
      <c r="O9" s="3"/>
      <c r="P9" s="3"/>
      <c r="Q9" s="3"/>
      <c r="R9" s="3"/>
      <c r="S9" s="3"/>
      <c r="T9" s="3"/>
      <c r="U9" s="3"/>
      <c r="V9" s="3"/>
      <c r="W9" s="3"/>
      <c r="X9" s="3"/>
      <c r="Y9" s="3"/>
      <c r="Z9" s="3"/>
    </row>
    <row r="10" ht="15.0" customHeight="1">
      <c r="A10" s="1"/>
      <c r="B10" s="17" t="s">
        <v>29</v>
      </c>
      <c r="C10" s="1"/>
      <c r="D10" s="1"/>
      <c r="E10" s="1"/>
      <c r="F10" s="3"/>
      <c r="G10" s="3"/>
      <c r="H10" s="3"/>
      <c r="I10" s="3"/>
      <c r="J10" s="3"/>
      <c r="K10" s="3"/>
      <c r="L10" s="3"/>
      <c r="M10" s="3"/>
      <c r="N10" s="3"/>
      <c r="O10" s="3"/>
      <c r="P10" s="3"/>
      <c r="Q10" s="3"/>
      <c r="R10" s="3"/>
      <c r="S10" s="3"/>
      <c r="T10" s="3"/>
      <c r="U10" s="3"/>
      <c r="V10" s="3"/>
      <c r="W10" s="3"/>
      <c r="X10" s="3"/>
      <c r="Y10" s="3"/>
      <c r="Z10" s="3"/>
    </row>
    <row r="11" ht="15.0" customHeight="1">
      <c r="A11" s="1"/>
      <c r="B11" s="17" t="s">
        <v>30</v>
      </c>
      <c r="C11" s="1"/>
      <c r="D11" s="1"/>
      <c r="E11" s="1"/>
      <c r="F11" s="3"/>
      <c r="G11" s="3"/>
      <c r="H11" s="3"/>
      <c r="I11" s="3"/>
      <c r="J11" s="3"/>
      <c r="K11" s="3"/>
      <c r="L11" s="3"/>
      <c r="M11" s="3"/>
      <c r="N11" s="3"/>
      <c r="O11" s="3"/>
      <c r="P11" s="3"/>
      <c r="Q11" s="3"/>
      <c r="R11" s="3"/>
      <c r="S11" s="3"/>
      <c r="T11" s="3"/>
      <c r="U11" s="3"/>
      <c r="V11" s="3"/>
      <c r="W11" s="3"/>
      <c r="X11" s="3"/>
      <c r="Y11" s="3"/>
      <c r="Z11" s="3"/>
    </row>
    <row r="12" ht="15.0" customHeight="1">
      <c r="A12" s="1"/>
      <c r="B12" s="8"/>
      <c r="C12" s="1"/>
      <c r="D12" s="1"/>
      <c r="E12" s="1"/>
      <c r="F12" s="3"/>
      <c r="G12" s="3"/>
      <c r="H12" s="3"/>
      <c r="I12" s="3"/>
      <c r="J12" s="3"/>
      <c r="K12" s="3"/>
      <c r="L12" s="3"/>
      <c r="M12" s="3"/>
      <c r="N12" s="3"/>
      <c r="O12" s="3"/>
      <c r="P12" s="3"/>
      <c r="Q12" s="3"/>
      <c r="R12" s="3"/>
      <c r="S12" s="3"/>
      <c r="T12" s="3"/>
      <c r="U12" s="3"/>
      <c r="V12" s="3"/>
      <c r="W12" s="3"/>
      <c r="X12" s="3"/>
      <c r="Y12" s="3"/>
      <c r="Z12" s="3"/>
    </row>
    <row r="13" ht="15.0" customHeight="1">
      <c r="A13" s="1"/>
      <c r="B13" s="15" t="s">
        <v>38</v>
      </c>
      <c r="C13" s="1"/>
      <c r="D13" s="1"/>
      <c r="E13" s="1"/>
      <c r="F13" s="3"/>
      <c r="G13" s="3"/>
      <c r="H13" s="3"/>
      <c r="I13" s="3"/>
      <c r="J13" s="3"/>
      <c r="K13" s="3"/>
      <c r="L13" s="3"/>
      <c r="M13" s="3"/>
      <c r="N13" s="3"/>
      <c r="O13" s="3"/>
      <c r="P13" s="3"/>
      <c r="Q13" s="3"/>
      <c r="R13" s="3"/>
      <c r="S13" s="3"/>
      <c r="T13" s="3"/>
      <c r="U13" s="3"/>
      <c r="V13" s="3"/>
      <c r="W13" s="3"/>
      <c r="X13" s="3"/>
      <c r="Y13" s="3"/>
      <c r="Z13" s="3"/>
    </row>
    <row r="14" ht="45.75" customHeight="1">
      <c r="A14" s="1"/>
      <c r="B14" s="17" t="s">
        <v>44</v>
      </c>
      <c r="C14" s="1"/>
      <c r="D14" s="1"/>
      <c r="E14" s="1"/>
      <c r="F14" s="3"/>
      <c r="G14" s="3"/>
      <c r="H14" s="3"/>
      <c r="I14" s="3"/>
      <c r="J14" s="3"/>
      <c r="K14" s="3"/>
      <c r="L14" s="3"/>
      <c r="M14" s="3"/>
      <c r="N14" s="3"/>
      <c r="O14" s="3"/>
      <c r="P14" s="3"/>
      <c r="Q14" s="3"/>
      <c r="R14" s="3"/>
      <c r="S14" s="3"/>
      <c r="T14" s="3"/>
      <c r="U14" s="3"/>
      <c r="V14" s="3"/>
      <c r="W14" s="3"/>
      <c r="X14" s="3"/>
      <c r="Y14" s="3"/>
      <c r="Z14" s="3"/>
    </row>
    <row r="15" ht="15.0" customHeight="1">
      <c r="A15" s="1"/>
      <c r="B15" s="8"/>
      <c r="C15" s="1"/>
      <c r="D15" s="1"/>
      <c r="E15" s="1"/>
      <c r="F15" s="3"/>
      <c r="G15" s="3"/>
      <c r="H15" s="3"/>
      <c r="I15" s="3"/>
      <c r="J15" s="3"/>
      <c r="K15" s="3"/>
      <c r="L15" s="3"/>
      <c r="M15" s="3"/>
      <c r="N15" s="3"/>
      <c r="O15" s="3"/>
      <c r="P15" s="3"/>
      <c r="Q15" s="3"/>
      <c r="R15" s="3"/>
      <c r="S15" s="3"/>
      <c r="T15" s="3"/>
      <c r="U15" s="3"/>
      <c r="V15" s="3"/>
      <c r="W15" s="3"/>
      <c r="X15" s="3"/>
      <c r="Y15" s="3"/>
      <c r="Z15" s="3"/>
    </row>
    <row r="16" ht="15.0" customHeight="1">
      <c r="A16" s="1"/>
      <c r="B16" s="15" t="s">
        <v>49</v>
      </c>
      <c r="C16" s="1"/>
      <c r="D16" s="1"/>
      <c r="E16" s="1"/>
      <c r="F16" s="3"/>
      <c r="G16" s="3"/>
      <c r="H16" s="3"/>
      <c r="I16" s="3"/>
      <c r="J16" s="3"/>
      <c r="K16" s="3"/>
      <c r="L16" s="3"/>
      <c r="M16" s="3"/>
      <c r="N16" s="3"/>
      <c r="O16" s="3"/>
      <c r="P16" s="3"/>
      <c r="Q16" s="3"/>
      <c r="R16" s="3"/>
      <c r="S16" s="3"/>
      <c r="T16" s="3"/>
      <c r="U16" s="3"/>
      <c r="V16" s="3"/>
      <c r="W16" s="3"/>
      <c r="X16" s="3"/>
      <c r="Y16" s="3"/>
      <c r="Z16" s="3"/>
    </row>
    <row r="17" ht="15.0" customHeight="1">
      <c r="A17" s="1"/>
      <c r="B17" s="17" t="s">
        <v>54</v>
      </c>
      <c r="C17" s="1"/>
      <c r="D17" s="1"/>
      <c r="E17" s="1"/>
      <c r="F17" s="3"/>
      <c r="G17" s="3"/>
      <c r="H17" s="3"/>
      <c r="I17" s="3"/>
      <c r="J17" s="3"/>
      <c r="K17" s="3"/>
      <c r="L17" s="3"/>
      <c r="M17" s="3"/>
      <c r="N17" s="3"/>
      <c r="O17" s="3"/>
      <c r="P17" s="3"/>
      <c r="Q17" s="3"/>
      <c r="R17" s="3"/>
      <c r="S17" s="3"/>
      <c r="T17" s="3"/>
      <c r="U17" s="3"/>
      <c r="V17" s="3"/>
      <c r="W17" s="3"/>
      <c r="X17" s="3"/>
      <c r="Y17" s="3"/>
      <c r="Z17" s="3"/>
    </row>
    <row r="18" ht="34.5" customHeight="1">
      <c r="A18" s="1"/>
      <c r="B18" s="17" t="s">
        <v>59</v>
      </c>
      <c r="C18" s="1"/>
      <c r="D18" s="1"/>
      <c r="E18" s="1"/>
      <c r="F18" s="3"/>
      <c r="G18" s="3"/>
      <c r="H18" s="3"/>
      <c r="I18" s="3"/>
      <c r="J18" s="3"/>
      <c r="K18" s="3"/>
      <c r="L18" s="3"/>
      <c r="M18" s="3"/>
      <c r="N18" s="3"/>
      <c r="O18" s="3"/>
      <c r="P18" s="3"/>
      <c r="Q18" s="3"/>
      <c r="R18" s="3"/>
      <c r="S18" s="3"/>
      <c r="T18" s="3"/>
      <c r="U18" s="3"/>
      <c r="V18" s="3"/>
      <c r="W18" s="3"/>
      <c r="X18" s="3"/>
      <c r="Y18" s="3"/>
      <c r="Z18" s="3"/>
    </row>
    <row r="19" ht="14.2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14.2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4.2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4.2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4.2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4.2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4.2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4.2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4.2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4.2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4.2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4.2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4.2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4.2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4.2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4.2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4.2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4.2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4.2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4.2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4.2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4.2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4.2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4.2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4.2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4.2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4.2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4.2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4.2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4.2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4.2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4.2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4.2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4.2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4.2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4.2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4.2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4.2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4.2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4.2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4.2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4.2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4.2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4.2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4.2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4.2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4.2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4.2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4.2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4.2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4.2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4.2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4.2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4.2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4.2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4.2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4.2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4.2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4.2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4.2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4.2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4.2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4.2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4.2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4.2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4.2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4.2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4.2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4.2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4.2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4.2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4.2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4.2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4.2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4.2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4.2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4.2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4.2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4.2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4.2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4.2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4.2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4.2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4.2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4.2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4.2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4.2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4.2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4.2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4.2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4.2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4.2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4.2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4.2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4.2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4.2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4.2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4.2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4.2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4.2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4.2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4.2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4.2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4.2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4.2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4.2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4.2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4.2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4.2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4.2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4.2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4.2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4.2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4.2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4.2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4.2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4.2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4.2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4.2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4.2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4.2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4.2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4.2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4.2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4.2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4.2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4.2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4.2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4.2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4.2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4.2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4.2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4.2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4.2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4.2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4.2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4.2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4.2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4.2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4.2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4.2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4.2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4.2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4.2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4.2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4.2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4.2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4.2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4.2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4.2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4.2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4.2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4.2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4.2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4.2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4.2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4.2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4.2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4.2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4.2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4.2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4.2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4.2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4.2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4.2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4.2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4.2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4.2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4.2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4.2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4.2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4.2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4.2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4.2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4.2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4.2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4.2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4.2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4.2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4.2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4.2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4.2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4.2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4.2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4.2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4.2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4.2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4.2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4.2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4.2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4.2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4.2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4.2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4.2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4.2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4.2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4.2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4.2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4.2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4.2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4.2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4.2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4.2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4.2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4.2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4.2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4.2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4.2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4.2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4.2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4.2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4.2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4.2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4.2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4.2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4.2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4.2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4.2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4.2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4.2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4.2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4.2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4.2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4.2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4.2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4.2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4.2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4.2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4.2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4.2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4.2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4.2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4.2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4.2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4.2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4.2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4.2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4.2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4.2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4.2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4.2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4.2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4.2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4.2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4.2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4.2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4.2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4.2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4.2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4.2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4.2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4.2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4.2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4.2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4.2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4.2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4.2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4.2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4.2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4.2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4.2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4.2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4.2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4.2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4.2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4.2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4.2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4.2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4.2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4.2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4.2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4.2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4.2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4.2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4.2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4.2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4.2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4.2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4.2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4.2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4.2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4.2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4.2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4.2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4.2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4.2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4.2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4.2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4.2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4.2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4.2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4.2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4.2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4.2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4.2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4.2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4.2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4.2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4.2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4.2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4.2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4.2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4.2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4.2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4.2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4.2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4.2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4.2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4.2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4.2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4.2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4.2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4.2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4.2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4.2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4.2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4.2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4.2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4.2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4.2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4.2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4.2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4.2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4.2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4.2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4.2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4.2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4.2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4.2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4.2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4.2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4.2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4.2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4.2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4.2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4.2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4.2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4.2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4.2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4.2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4.2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4.2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4.2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4.2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4.2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4.2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4.2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4.2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4.2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4.2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4.2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4.2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4.2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4.2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4.2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4.2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4.2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4.2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4.2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4.2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4.2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4.2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4.2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4.2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4.2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4.2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4.2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4.2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4.2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4.2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4.2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4.2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4.2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4.2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4.2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4.2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4.2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4.2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4.2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4.2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4.2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4.2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4.2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4.2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4.2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4.2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4.2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4.2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4.2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4.2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4.2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4.2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4.2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4.2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4.2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4.2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4.2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4.2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4.2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4.2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4.2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4.2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4.2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4.2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4.2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4.2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4.2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4.2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4.2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4.2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4.2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4.2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4.2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4.2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4.2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4.2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4.2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4.2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4.2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4.2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4.2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4.2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4.2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4.2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4.2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4.2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4.2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4.2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4.2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4.2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4.2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4.2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4.2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4.2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4.2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4.2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4.2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4.2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4.2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4.2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4.2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4.2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4.2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4.2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4.2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4.2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4.2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4.2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4.2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4.2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4.2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4.2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4.2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4.2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4.2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4.2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4.2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4.2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4.2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4.2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4.2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4.2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4.2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4.2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4.2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4.2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4.2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4.2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4.2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4.2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4.2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4.2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4.2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4.2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4.2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4.2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4.2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4.2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4.2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4.2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4.2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4.2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4.2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4.2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4.2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4.2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4.2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4.2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4.2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4.2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4.2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4.2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4.2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4.2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4.2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4.2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4.2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4.2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4.2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4.2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4.2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4.2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4.2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4.2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4.2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4.2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4.2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4.2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4.2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4.2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4.2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4.2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4.2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4.2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4.2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4.2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4.2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4.2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4.2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4.2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4.2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4.2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4.2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4.2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4.2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4.2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4.2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4.2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4.2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4.2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4.2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4.2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4.2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4.2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4.2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4.2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4.2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4.2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4.2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4.2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4.2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4.2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4.2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4.2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4.2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4.2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4.2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4.2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4.2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4.2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4.2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4.2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4.2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4.2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4.2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4.2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4.2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4.2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4.2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4.2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4.2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4.2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4.2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4.2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4.2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4.2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4.2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4.2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4.2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4.2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4.2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4.2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4.2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4.2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4.2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4.2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4.2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4.2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4.2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4.2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4.2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4.2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4.2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4.2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4.2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4.2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4.2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4.2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4.2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4.2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4.2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4.2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4.2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4.2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4.2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4.2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4.2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4.2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4.2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4.2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4.2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4.2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4.2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4.2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4.2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4.2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4.2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4.2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4.2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4.2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4.2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4.2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4.2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4.2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4.2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4.2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4.2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4.2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4.2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4.2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4.2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4.2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4.2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4.2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4.2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4.2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4.2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4.2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4.2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4.2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4.2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4.2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4.2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4.2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4.2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4.2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4.2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4.2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4.2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4.2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4.2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4.2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4.2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4.2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4.2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4.2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4.2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4.2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4.2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4.2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4.2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4.2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4.2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4.2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4.2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4.2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4.2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4.2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4.2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4.2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4.2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4.2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4.2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4.2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4.2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4.2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4.2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4.2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4.2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4.2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4.2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4.2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4.2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4.2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4.2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4.2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4.2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4.2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4.2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4.2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4.2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4.2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4.2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4.2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4.2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4.2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4.2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4.2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4.2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4.2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4.2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4.2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4.2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4.2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4.2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4.2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4.2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4.2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4.2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4.2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4.2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4.2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4.2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4.2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4.2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4.2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4.2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4.2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4.2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4.2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4.2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4.2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4.2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4.2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4.2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4.2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4.2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4.2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4.2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4.2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4.2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4.2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4.2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4.2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4.2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4.2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4.2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4.2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4.2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4.2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4.2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4.2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4.2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4.2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4.2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4.2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4.2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4.2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4.2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4.2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4.2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4.2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4.2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4.2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4.2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4.2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4.2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4.2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4.2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4.2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4.2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4.2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4.2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4.2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4.2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4.2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4.2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4.2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4.2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4.2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4.2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4.2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4.2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4.2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4.2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4.2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4.2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4.2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4.2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4.2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4.2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4.2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4.2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4.2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4.2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4.2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4.2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4.2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4.2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4.2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4.2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4.2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4.2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4.2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4.2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4.2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4.2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4.2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4.2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4.2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4.2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4.2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4.2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4.2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4.2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4.2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4.2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4.2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4.2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4.2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4.2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4.2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4.2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4.2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4.2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4.2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4.2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4.2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4.2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4.2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4.2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4.2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4.2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4.2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4.2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4.2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4.2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4.2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4.2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4.2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4.2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4.2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4.2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4.2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4.2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4.2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4.2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4.2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4.2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4.2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4.2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4.2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4.2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4.2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4.2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4.2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4.2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4.2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4.2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4.2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4.2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4.2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4.2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4.2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4.2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4.2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4.2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4.2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4.2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4.2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4.2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4.2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4.2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4.2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4.2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4.2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4.2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4.2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4.2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4.2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4.2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4.2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4.2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4.2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4.2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4.2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4.2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4.2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4.2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4.2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4.2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4.2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4.2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4.2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4.2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4.2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4.2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4.2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4.2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4.2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4.2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4.2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4.2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4.2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4.2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4.2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4.2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4.2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4.2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4.2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4.2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4.2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4.2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4.2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4.2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4.2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4.2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4.2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4.2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4.2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4.2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4.2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4.2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4.2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4.2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4.2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4.2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4.2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4.2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4.2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4.2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4.2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4.2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4.2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4.2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4.2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4.2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4.2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4.2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4.2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4.2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4.2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4.2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4.2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4.2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4.2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4.2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4.2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4.2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4.2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4.2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4.2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4.2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4.2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4.2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4.2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4.2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4.2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4.2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4.2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4.2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4.2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4.2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4.2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4.2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4.2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4.2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4.2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4.2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4.2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4.2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4.2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4.2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4.2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4.2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4.2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4.2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4.2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4.2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4.2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4.2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4.2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4.2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4.2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4.2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4.2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4.2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4.2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4.2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4.2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4.2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4.2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4.2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4.2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4.2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4.2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4.2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4.2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4.2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4.2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4.2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4.2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1.0" footer="0.0" header="0.0" left="0.75" right="0.75" top="1.0"/>
  <pageSetup orientation="portrait"/>
  <headerFooter>
    <oddFooter>&amp;C000000&amp;P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2.0"/>
    <col customWidth="1" min="2" max="2" width="12.0"/>
    <col customWidth="1" min="3" max="3" width="76.0"/>
    <col customWidth="1" min="4" max="26" width="8.71"/>
  </cols>
  <sheetData>
    <row r="1" ht="17.25" customHeight="1">
      <c r="A1" s="6" t="s">
        <v>6</v>
      </c>
      <c r="B1" s="1"/>
      <c r="C1" s="1"/>
      <c r="D1" s="1"/>
      <c r="E1" s="1"/>
      <c r="F1" s="3"/>
      <c r="G1" s="3"/>
      <c r="H1" s="3"/>
      <c r="I1" s="3"/>
      <c r="J1" s="3"/>
      <c r="K1" s="3"/>
      <c r="L1" s="3"/>
      <c r="M1" s="3"/>
      <c r="N1" s="3"/>
      <c r="O1" s="3"/>
      <c r="P1" s="3"/>
      <c r="Q1" s="3"/>
      <c r="R1" s="3"/>
      <c r="S1" s="3"/>
      <c r="T1" s="3"/>
      <c r="U1" s="3"/>
      <c r="V1" s="3"/>
      <c r="W1" s="3"/>
      <c r="X1" s="3"/>
      <c r="Y1" s="3"/>
      <c r="Z1" s="3"/>
    </row>
    <row r="2" ht="13.5" customHeight="1">
      <c r="A2" s="1"/>
      <c r="B2" s="1"/>
      <c r="C2" s="1"/>
      <c r="D2" s="1"/>
      <c r="E2" s="1"/>
      <c r="F2" s="3"/>
      <c r="G2" s="3"/>
      <c r="H2" s="3"/>
      <c r="I2" s="3"/>
      <c r="J2" s="3"/>
      <c r="K2" s="3"/>
      <c r="L2" s="3"/>
      <c r="M2" s="3"/>
      <c r="N2" s="3"/>
      <c r="O2" s="3"/>
      <c r="P2" s="3"/>
      <c r="Q2" s="3"/>
      <c r="R2" s="3"/>
      <c r="S2" s="3"/>
      <c r="T2" s="3"/>
      <c r="U2" s="3"/>
      <c r="V2" s="3"/>
      <c r="W2" s="3"/>
      <c r="X2" s="3"/>
      <c r="Y2" s="3"/>
      <c r="Z2" s="3"/>
    </row>
    <row r="3" ht="15.0" customHeight="1">
      <c r="A3" s="9" t="s">
        <v>9</v>
      </c>
      <c r="B3" s="12"/>
      <c r="C3" s="12"/>
      <c r="D3" s="1"/>
      <c r="E3" s="1"/>
      <c r="F3" s="3"/>
      <c r="G3" s="3"/>
      <c r="H3" s="3"/>
      <c r="I3" s="3"/>
      <c r="J3" s="3"/>
      <c r="K3" s="3"/>
      <c r="L3" s="3"/>
      <c r="M3" s="3"/>
      <c r="N3" s="3"/>
      <c r="O3" s="3"/>
      <c r="P3" s="3"/>
      <c r="Q3" s="3"/>
      <c r="R3" s="3"/>
      <c r="S3" s="3"/>
      <c r="T3" s="3"/>
      <c r="U3" s="3"/>
      <c r="V3" s="3"/>
      <c r="W3" s="3"/>
      <c r="X3" s="3"/>
      <c r="Y3" s="3"/>
      <c r="Z3" s="3"/>
    </row>
    <row r="4" ht="15.0" customHeight="1">
      <c r="A4" s="16" t="s">
        <v>12</v>
      </c>
      <c r="B4" s="16" t="s">
        <v>14</v>
      </c>
      <c r="C4" s="16" t="s">
        <v>16</v>
      </c>
      <c r="D4" s="18"/>
      <c r="E4" s="1"/>
      <c r="F4" s="3"/>
      <c r="G4" s="3"/>
      <c r="H4" s="3"/>
      <c r="I4" s="3"/>
      <c r="J4" s="3"/>
      <c r="K4" s="3"/>
      <c r="L4" s="3"/>
      <c r="M4" s="3"/>
      <c r="N4" s="3"/>
      <c r="O4" s="3"/>
      <c r="P4" s="3"/>
      <c r="Q4" s="3"/>
      <c r="R4" s="3"/>
      <c r="S4" s="3"/>
      <c r="T4" s="3"/>
      <c r="U4" s="3"/>
      <c r="V4" s="3"/>
      <c r="W4" s="3"/>
      <c r="X4" s="3"/>
      <c r="Y4" s="3"/>
      <c r="Z4" s="3"/>
    </row>
    <row r="5" ht="21.75" customHeight="1">
      <c r="A5" s="20" t="s">
        <v>20</v>
      </c>
      <c r="B5" s="21">
        <v>0.3</v>
      </c>
      <c r="C5" s="23" t="s">
        <v>24</v>
      </c>
      <c r="D5" s="18"/>
      <c r="E5" s="1"/>
      <c r="F5" s="3"/>
      <c r="G5" s="3"/>
      <c r="H5" s="3"/>
      <c r="I5" s="3"/>
      <c r="J5" s="3"/>
      <c r="K5" s="3"/>
      <c r="L5" s="3"/>
      <c r="M5" s="3"/>
      <c r="N5" s="3"/>
      <c r="O5" s="3"/>
      <c r="P5" s="3"/>
      <c r="Q5" s="3"/>
      <c r="R5" s="3"/>
      <c r="S5" s="3"/>
      <c r="T5" s="3"/>
      <c r="U5" s="3"/>
      <c r="V5" s="3"/>
      <c r="W5" s="3"/>
      <c r="X5" s="3"/>
      <c r="Y5" s="3"/>
      <c r="Z5" s="3"/>
    </row>
    <row r="6" ht="21.75" customHeight="1">
      <c r="A6" s="20" t="s">
        <v>31</v>
      </c>
      <c r="B6" s="21">
        <v>0.2</v>
      </c>
      <c r="C6" s="23" t="s">
        <v>33</v>
      </c>
      <c r="D6" s="18"/>
      <c r="E6" s="1"/>
      <c r="F6" s="3"/>
      <c r="G6" s="3"/>
      <c r="H6" s="3"/>
      <c r="I6" s="3"/>
      <c r="J6" s="3"/>
      <c r="K6" s="3"/>
      <c r="L6" s="3"/>
      <c r="M6" s="3"/>
      <c r="N6" s="3"/>
      <c r="O6" s="3"/>
      <c r="P6" s="3"/>
      <c r="Q6" s="3"/>
      <c r="R6" s="3"/>
      <c r="S6" s="3"/>
      <c r="T6" s="3"/>
      <c r="U6" s="3"/>
      <c r="V6" s="3"/>
      <c r="W6" s="3"/>
      <c r="X6" s="3"/>
      <c r="Y6" s="3"/>
      <c r="Z6" s="3"/>
    </row>
    <row r="7" ht="21.75" customHeight="1">
      <c r="A7" s="20" t="s">
        <v>36</v>
      </c>
      <c r="B7" s="21">
        <v>0.2</v>
      </c>
      <c r="C7" s="23" t="s">
        <v>39</v>
      </c>
      <c r="D7" s="18"/>
      <c r="E7" s="1"/>
      <c r="F7" s="3"/>
      <c r="G7" s="3"/>
      <c r="H7" s="3"/>
      <c r="I7" s="3"/>
      <c r="J7" s="3"/>
      <c r="K7" s="3"/>
      <c r="L7" s="3"/>
      <c r="M7" s="3"/>
      <c r="N7" s="3"/>
      <c r="O7" s="3"/>
      <c r="P7" s="3"/>
      <c r="Q7" s="3"/>
      <c r="R7" s="3"/>
      <c r="S7" s="3"/>
      <c r="T7" s="3"/>
      <c r="U7" s="3"/>
      <c r="V7" s="3"/>
      <c r="W7" s="3"/>
      <c r="X7" s="3"/>
      <c r="Y7" s="3"/>
      <c r="Z7" s="3"/>
    </row>
    <row r="8" ht="15.0" customHeight="1">
      <c r="A8" s="20" t="s">
        <v>43</v>
      </c>
      <c r="B8" s="21">
        <v>0.15</v>
      </c>
      <c r="C8" s="23" t="s">
        <v>45</v>
      </c>
      <c r="D8" s="18"/>
      <c r="E8" s="1"/>
      <c r="F8" s="3"/>
      <c r="G8" s="3"/>
      <c r="H8" s="3"/>
      <c r="I8" s="3"/>
      <c r="J8" s="3"/>
      <c r="K8" s="3"/>
      <c r="L8" s="3"/>
      <c r="M8" s="3"/>
      <c r="N8" s="3"/>
      <c r="O8" s="3"/>
      <c r="P8" s="3"/>
      <c r="Q8" s="3"/>
      <c r="R8" s="3"/>
      <c r="S8" s="3"/>
      <c r="T8" s="3"/>
      <c r="U8" s="3"/>
      <c r="V8" s="3"/>
      <c r="W8" s="3"/>
      <c r="X8" s="3"/>
      <c r="Y8" s="3"/>
      <c r="Z8" s="3"/>
    </row>
    <row r="9" ht="15.0" customHeight="1">
      <c r="A9" s="20" t="s">
        <v>47</v>
      </c>
      <c r="B9" s="21">
        <v>0.15</v>
      </c>
      <c r="C9" s="23" t="s">
        <v>50</v>
      </c>
      <c r="D9" s="18"/>
      <c r="E9" s="1"/>
      <c r="F9" s="3"/>
      <c r="G9" s="3"/>
      <c r="H9" s="3"/>
      <c r="I9" s="3"/>
      <c r="J9" s="3"/>
      <c r="K9" s="3"/>
      <c r="L9" s="3"/>
      <c r="M9" s="3"/>
      <c r="N9" s="3"/>
      <c r="O9" s="3"/>
      <c r="P9" s="3"/>
      <c r="Q9" s="3"/>
      <c r="R9" s="3"/>
      <c r="S9" s="3"/>
      <c r="T9" s="3"/>
      <c r="U9" s="3"/>
      <c r="V9" s="3"/>
      <c r="W9" s="3"/>
      <c r="X9" s="3"/>
      <c r="Y9" s="3"/>
      <c r="Z9" s="3"/>
    </row>
    <row r="10" ht="15.0" customHeight="1">
      <c r="A10" s="27" t="s">
        <v>55</v>
      </c>
      <c r="B10" s="29">
        <f>SUM(B5:B9)</f>
        <v>1</v>
      </c>
      <c r="C10" s="31"/>
      <c r="D10" s="1"/>
      <c r="E10" s="1"/>
      <c r="F10" s="3"/>
      <c r="G10" s="3"/>
      <c r="H10" s="3"/>
      <c r="I10" s="3"/>
      <c r="J10" s="3"/>
      <c r="K10" s="3"/>
      <c r="L10" s="3"/>
      <c r="M10" s="3"/>
      <c r="N10" s="3"/>
      <c r="O10" s="3"/>
      <c r="P10" s="3"/>
      <c r="Q10" s="3"/>
      <c r="R10" s="3"/>
      <c r="S10" s="3"/>
      <c r="T10" s="3"/>
      <c r="U10" s="3"/>
      <c r="V10" s="3"/>
      <c r="W10" s="3"/>
      <c r="X10" s="3"/>
      <c r="Y10" s="3"/>
      <c r="Z10" s="3"/>
    </row>
    <row r="11" ht="13.5" customHeight="1">
      <c r="A11" s="32"/>
      <c r="B11" s="32"/>
      <c r="C11" s="1"/>
      <c r="D11" s="1"/>
      <c r="E11" s="1"/>
      <c r="F11" s="3"/>
      <c r="G11" s="3"/>
      <c r="H11" s="3"/>
      <c r="I11" s="3"/>
      <c r="J11" s="3"/>
      <c r="K11" s="3"/>
      <c r="L11" s="3"/>
      <c r="M11" s="3"/>
      <c r="N11" s="3"/>
      <c r="O11" s="3"/>
      <c r="P11" s="3"/>
      <c r="Q11" s="3"/>
      <c r="R11" s="3"/>
      <c r="S11" s="3"/>
      <c r="T11" s="3"/>
      <c r="U11" s="3"/>
      <c r="V11" s="3"/>
      <c r="W11" s="3"/>
      <c r="X11" s="3"/>
      <c r="Y11" s="3"/>
      <c r="Z11" s="3"/>
    </row>
    <row r="12" ht="15.0" customHeight="1">
      <c r="A12" s="9" t="s">
        <v>70</v>
      </c>
      <c r="B12" s="12"/>
      <c r="C12" s="12"/>
      <c r="D12" s="1"/>
      <c r="E12" s="1"/>
      <c r="F12" s="3"/>
      <c r="G12" s="3"/>
      <c r="H12" s="3"/>
      <c r="I12" s="3"/>
      <c r="J12" s="3"/>
      <c r="K12" s="3"/>
      <c r="L12" s="3"/>
      <c r="M12" s="3"/>
      <c r="N12" s="3"/>
      <c r="O12" s="3"/>
      <c r="P12" s="3"/>
      <c r="Q12" s="3"/>
      <c r="R12" s="3"/>
      <c r="S12" s="3"/>
      <c r="T12" s="3"/>
      <c r="U12" s="3"/>
      <c r="V12" s="3"/>
      <c r="W12" s="3"/>
      <c r="X12" s="3"/>
      <c r="Y12" s="3"/>
      <c r="Z12" s="3"/>
    </row>
    <row r="13" ht="15.0" customHeight="1">
      <c r="A13" s="16" t="s">
        <v>12</v>
      </c>
      <c r="B13" s="16" t="s">
        <v>14</v>
      </c>
      <c r="C13" s="16" t="s">
        <v>16</v>
      </c>
      <c r="D13" s="18"/>
      <c r="E13" s="1"/>
      <c r="F13" s="3"/>
      <c r="G13" s="3"/>
      <c r="H13" s="3"/>
      <c r="I13" s="3"/>
      <c r="J13" s="3"/>
      <c r="K13" s="3"/>
      <c r="L13" s="3"/>
      <c r="M13" s="3"/>
      <c r="N13" s="3"/>
      <c r="O13" s="3"/>
      <c r="P13" s="3"/>
      <c r="Q13" s="3"/>
      <c r="R13" s="3"/>
      <c r="S13" s="3"/>
      <c r="T13" s="3"/>
      <c r="U13" s="3"/>
      <c r="V13" s="3"/>
      <c r="W13" s="3"/>
      <c r="X13" s="3"/>
      <c r="Y13" s="3"/>
      <c r="Z13" s="3"/>
    </row>
    <row r="14" ht="21.75" customHeight="1">
      <c r="A14" s="20" t="s">
        <v>76</v>
      </c>
      <c r="B14" s="21">
        <v>0.3</v>
      </c>
      <c r="C14" s="23" t="s">
        <v>78</v>
      </c>
      <c r="D14" s="18"/>
      <c r="E14" s="1"/>
      <c r="F14" s="3"/>
      <c r="G14" s="3"/>
      <c r="H14" s="3"/>
      <c r="I14" s="3"/>
      <c r="J14" s="3"/>
      <c r="K14" s="3"/>
      <c r="L14" s="3"/>
      <c r="M14" s="3"/>
      <c r="N14" s="3"/>
      <c r="O14" s="3"/>
      <c r="P14" s="3"/>
      <c r="Q14" s="3"/>
      <c r="R14" s="3"/>
      <c r="S14" s="3"/>
      <c r="T14" s="3"/>
      <c r="U14" s="3"/>
      <c r="V14" s="3"/>
      <c r="W14" s="3"/>
      <c r="X14" s="3"/>
      <c r="Y14" s="3"/>
      <c r="Z14" s="3"/>
    </row>
    <row r="15" ht="21.75" customHeight="1">
      <c r="A15" s="20" t="s">
        <v>81</v>
      </c>
      <c r="B15" s="21">
        <v>0.2</v>
      </c>
      <c r="C15" s="23" t="s">
        <v>83</v>
      </c>
      <c r="D15" s="18"/>
      <c r="E15" s="1"/>
      <c r="F15" s="3"/>
      <c r="G15" s="3"/>
      <c r="H15" s="3"/>
      <c r="I15" s="3"/>
      <c r="J15" s="3"/>
      <c r="K15" s="3"/>
      <c r="L15" s="3"/>
      <c r="M15" s="3"/>
      <c r="N15" s="3"/>
      <c r="O15" s="3"/>
      <c r="P15" s="3"/>
      <c r="Q15" s="3"/>
      <c r="R15" s="3"/>
      <c r="S15" s="3"/>
      <c r="T15" s="3"/>
      <c r="U15" s="3"/>
      <c r="V15" s="3"/>
      <c r="W15" s="3"/>
      <c r="X15" s="3"/>
      <c r="Y15" s="3"/>
      <c r="Z15" s="3"/>
    </row>
    <row r="16" ht="15.0" customHeight="1">
      <c r="A16" s="20" t="s">
        <v>86</v>
      </c>
      <c r="B16" s="21">
        <v>0.2</v>
      </c>
      <c r="C16" s="23" t="s">
        <v>88</v>
      </c>
      <c r="D16" s="18"/>
      <c r="E16" s="1"/>
      <c r="F16" s="3"/>
      <c r="G16" s="3"/>
      <c r="H16" s="3"/>
      <c r="I16" s="3"/>
      <c r="J16" s="3"/>
      <c r="K16" s="3"/>
      <c r="L16" s="3"/>
      <c r="M16" s="3"/>
      <c r="N16" s="3"/>
      <c r="O16" s="3"/>
      <c r="P16" s="3"/>
      <c r="Q16" s="3"/>
      <c r="R16" s="3"/>
      <c r="S16" s="3"/>
      <c r="T16" s="3"/>
      <c r="U16" s="3"/>
      <c r="V16" s="3"/>
      <c r="W16" s="3"/>
      <c r="X16" s="3"/>
      <c r="Y16" s="3"/>
      <c r="Z16" s="3"/>
    </row>
    <row r="17" ht="15.0" customHeight="1">
      <c r="A17" s="20" t="s">
        <v>90</v>
      </c>
      <c r="B17" s="21">
        <v>0.15</v>
      </c>
      <c r="C17" s="23" t="s">
        <v>91</v>
      </c>
      <c r="D17" s="18"/>
      <c r="E17" s="1"/>
      <c r="F17" s="3"/>
      <c r="G17" s="3"/>
      <c r="H17" s="3"/>
      <c r="I17" s="3"/>
      <c r="J17" s="3"/>
      <c r="K17" s="3"/>
      <c r="L17" s="3"/>
      <c r="M17" s="3"/>
      <c r="N17" s="3"/>
      <c r="O17" s="3"/>
      <c r="P17" s="3"/>
      <c r="Q17" s="3"/>
      <c r="R17" s="3"/>
      <c r="S17" s="3"/>
      <c r="T17" s="3"/>
      <c r="U17" s="3"/>
      <c r="V17" s="3"/>
      <c r="W17" s="3"/>
      <c r="X17" s="3"/>
      <c r="Y17" s="3"/>
      <c r="Z17" s="3"/>
    </row>
    <row r="18" ht="15.0" customHeight="1">
      <c r="A18" s="20" t="s">
        <v>92</v>
      </c>
      <c r="B18" s="21">
        <v>0.15</v>
      </c>
      <c r="C18" s="23" t="s">
        <v>93</v>
      </c>
      <c r="D18" s="18"/>
      <c r="E18" s="1"/>
      <c r="F18" s="3"/>
      <c r="G18" s="3"/>
      <c r="H18" s="3"/>
      <c r="I18" s="3"/>
      <c r="J18" s="3"/>
      <c r="K18" s="3"/>
      <c r="L18" s="3"/>
      <c r="M18" s="3"/>
      <c r="N18" s="3"/>
      <c r="O18" s="3"/>
      <c r="P18" s="3"/>
      <c r="Q18" s="3"/>
      <c r="R18" s="3"/>
      <c r="S18" s="3"/>
      <c r="T18" s="3"/>
      <c r="U18" s="3"/>
      <c r="V18" s="3"/>
      <c r="W18" s="3"/>
      <c r="X18" s="3"/>
      <c r="Y18" s="3"/>
      <c r="Z18" s="3"/>
    </row>
    <row r="19" ht="15.0" customHeight="1">
      <c r="A19" s="27" t="s">
        <v>55</v>
      </c>
      <c r="B19" s="29">
        <f>SUM(B14:B18)</f>
        <v>1</v>
      </c>
      <c r="C19" s="31"/>
      <c r="D19" s="1"/>
      <c r="E19" s="1"/>
      <c r="F19" s="3"/>
      <c r="G19" s="3"/>
      <c r="H19" s="3"/>
      <c r="I19" s="3"/>
      <c r="J19" s="3"/>
      <c r="K19" s="3"/>
      <c r="L19" s="3"/>
      <c r="M19" s="3"/>
      <c r="N19" s="3"/>
      <c r="O19" s="3"/>
      <c r="P19" s="3"/>
      <c r="Q19" s="3"/>
      <c r="R19" s="3"/>
      <c r="S19" s="3"/>
      <c r="T19" s="3"/>
      <c r="U19" s="3"/>
      <c r="V19" s="3"/>
      <c r="W19" s="3"/>
      <c r="X19" s="3"/>
      <c r="Y19" s="3"/>
      <c r="Z19" s="3"/>
    </row>
    <row r="20" ht="13.5" customHeight="1">
      <c r="A20" s="32"/>
      <c r="B20" s="32"/>
      <c r="C20" s="1"/>
      <c r="D20" s="1"/>
      <c r="E20" s="1"/>
      <c r="F20" s="3"/>
      <c r="G20" s="3"/>
      <c r="H20" s="3"/>
      <c r="I20" s="3"/>
      <c r="J20" s="3"/>
      <c r="K20" s="3"/>
      <c r="L20" s="3"/>
      <c r="M20" s="3"/>
      <c r="N20" s="3"/>
      <c r="O20" s="3"/>
      <c r="P20" s="3"/>
      <c r="Q20" s="3"/>
      <c r="R20" s="3"/>
      <c r="S20" s="3"/>
      <c r="T20" s="3"/>
      <c r="U20" s="3"/>
      <c r="V20" s="3"/>
      <c r="W20" s="3"/>
      <c r="X20" s="3"/>
      <c r="Y20" s="3"/>
      <c r="Z20" s="3"/>
    </row>
    <row r="21" ht="15.0" customHeight="1">
      <c r="A21" s="9" t="s">
        <v>103</v>
      </c>
      <c r="B21" s="12"/>
      <c r="C21" s="12"/>
      <c r="D21" s="1"/>
      <c r="E21" s="1"/>
      <c r="F21" s="3"/>
      <c r="G21" s="3"/>
      <c r="H21" s="3"/>
      <c r="I21" s="3"/>
      <c r="J21" s="3"/>
      <c r="K21" s="3"/>
      <c r="L21" s="3"/>
      <c r="M21" s="3"/>
      <c r="N21" s="3"/>
      <c r="O21" s="3"/>
      <c r="P21" s="3"/>
      <c r="Q21" s="3"/>
      <c r="R21" s="3"/>
      <c r="S21" s="3"/>
      <c r="T21" s="3"/>
      <c r="U21" s="3"/>
      <c r="V21" s="3"/>
      <c r="W21" s="3"/>
      <c r="X21" s="3"/>
      <c r="Y21" s="3"/>
      <c r="Z21" s="3"/>
    </row>
    <row r="22" ht="15.0" customHeight="1">
      <c r="A22" s="16" t="s">
        <v>12</v>
      </c>
      <c r="B22" s="16" t="s">
        <v>14</v>
      </c>
      <c r="C22" s="16" t="s">
        <v>16</v>
      </c>
      <c r="D22" s="18"/>
      <c r="E22" s="1"/>
      <c r="F22" s="3"/>
      <c r="G22" s="3"/>
      <c r="H22" s="3"/>
      <c r="I22" s="3"/>
      <c r="J22" s="3"/>
      <c r="K22" s="3"/>
      <c r="L22" s="3"/>
      <c r="M22" s="3"/>
      <c r="N22" s="3"/>
      <c r="O22" s="3"/>
      <c r="P22" s="3"/>
      <c r="Q22" s="3"/>
      <c r="R22" s="3"/>
      <c r="S22" s="3"/>
      <c r="T22" s="3"/>
      <c r="U22" s="3"/>
      <c r="V22" s="3"/>
      <c r="W22" s="3"/>
      <c r="X22" s="3"/>
      <c r="Y22" s="3"/>
      <c r="Z22" s="3"/>
    </row>
    <row r="23" ht="15.0" customHeight="1">
      <c r="A23" s="20" t="s">
        <v>110</v>
      </c>
      <c r="B23" s="21">
        <v>0.3</v>
      </c>
      <c r="C23" s="23" t="s">
        <v>112</v>
      </c>
      <c r="D23" s="18"/>
      <c r="E23" s="1"/>
      <c r="F23" s="3"/>
      <c r="G23" s="3"/>
      <c r="H23" s="3"/>
      <c r="I23" s="3"/>
      <c r="J23" s="3"/>
      <c r="K23" s="3"/>
      <c r="L23" s="3"/>
      <c r="M23" s="3"/>
      <c r="N23" s="3"/>
      <c r="O23" s="3"/>
      <c r="P23" s="3"/>
      <c r="Q23" s="3"/>
      <c r="R23" s="3"/>
      <c r="S23" s="3"/>
      <c r="T23" s="3"/>
      <c r="U23" s="3"/>
      <c r="V23" s="3"/>
      <c r="W23" s="3"/>
      <c r="X23" s="3"/>
      <c r="Y23" s="3"/>
      <c r="Z23" s="3"/>
    </row>
    <row r="24" ht="21.75" customHeight="1">
      <c r="A24" s="20" t="s">
        <v>114</v>
      </c>
      <c r="B24" s="21">
        <v>0.3</v>
      </c>
      <c r="C24" s="23" t="s">
        <v>115</v>
      </c>
      <c r="D24" s="18"/>
      <c r="E24" s="1"/>
      <c r="F24" s="3"/>
      <c r="G24" s="3"/>
      <c r="H24" s="3"/>
      <c r="I24" s="3"/>
      <c r="J24" s="3"/>
      <c r="K24" s="3"/>
      <c r="L24" s="3"/>
      <c r="M24" s="3"/>
      <c r="N24" s="3"/>
      <c r="O24" s="3"/>
      <c r="P24" s="3"/>
      <c r="Q24" s="3"/>
      <c r="R24" s="3"/>
      <c r="S24" s="3"/>
      <c r="T24" s="3"/>
      <c r="U24" s="3"/>
      <c r="V24" s="3"/>
      <c r="W24" s="3"/>
      <c r="X24" s="3"/>
      <c r="Y24" s="3"/>
      <c r="Z24" s="3"/>
    </row>
    <row r="25" ht="21.75" customHeight="1">
      <c r="A25" s="20" t="s">
        <v>116</v>
      </c>
      <c r="B25" s="21">
        <v>0.25</v>
      </c>
      <c r="C25" s="23" t="s">
        <v>118</v>
      </c>
      <c r="D25" s="18"/>
      <c r="E25" s="1"/>
      <c r="F25" s="3"/>
      <c r="G25" s="3"/>
      <c r="H25" s="3"/>
      <c r="I25" s="3"/>
      <c r="J25" s="3"/>
      <c r="K25" s="3"/>
      <c r="L25" s="3"/>
      <c r="M25" s="3"/>
      <c r="N25" s="3"/>
      <c r="O25" s="3"/>
      <c r="P25" s="3"/>
      <c r="Q25" s="3"/>
      <c r="R25" s="3"/>
      <c r="S25" s="3"/>
      <c r="T25" s="3"/>
      <c r="U25" s="3"/>
      <c r="V25" s="3"/>
      <c r="W25" s="3"/>
      <c r="X25" s="3"/>
      <c r="Y25" s="3"/>
      <c r="Z25" s="3"/>
    </row>
    <row r="26" ht="15.0" customHeight="1">
      <c r="A26" s="20" t="s">
        <v>119</v>
      </c>
      <c r="B26" s="21">
        <v>0.15</v>
      </c>
      <c r="C26" s="23" t="s">
        <v>120</v>
      </c>
      <c r="D26" s="18"/>
      <c r="E26" s="1"/>
      <c r="F26" s="3"/>
      <c r="G26" s="3"/>
      <c r="H26" s="3"/>
      <c r="I26" s="3"/>
      <c r="J26" s="3"/>
      <c r="K26" s="3"/>
      <c r="L26" s="3"/>
      <c r="M26" s="3"/>
      <c r="N26" s="3"/>
      <c r="O26" s="3"/>
      <c r="P26" s="3"/>
      <c r="Q26" s="3"/>
      <c r="R26" s="3"/>
      <c r="S26" s="3"/>
      <c r="T26" s="3"/>
      <c r="U26" s="3"/>
      <c r="V26" s="3"/>
      <c r="W26" s="3"/>
      <c r="X26" s="3"/>
      <c r="Y26" s="3"/>
      <c r="Z26" s="3"/>
    </row>
    <row r="27" ht="15.0" customHeight="1">
      <c r="A27" s="27" t="s">
        <v>55</v>
      </c>
      <c r="B27" s="29">
        <f>SUM(B23:B26)</f>
        <v>1</v>
      </c>
      <c r="C27" s="31"/>
      <c r="D27" s="1"/>
      <c r="E27" s="1"/>
      <c r="F27" s="3"/>
      <c r="G27" s="3"/>
      <c r="H27" s="3"/>
      <c r="I27" s="3"/>
      <c r="J27" s="3"/>
      <c r="K27" s="3"/>
      <c r="L27" s="3"/>
      <c r="M27" s="3"/>
      <c r="N27" s="3"/>
      <c r="O27" s="3"/>
      <c r="P27" s="3"/>
      <c r="Q27" s="3"/>
      <c r="R27" s="3"/>
      <c r="S27" s="3"/>
      <c r="T27" s="3"/>
      <c r="U27" s="3"/>
      <c r="V27" s="3"/>
      <c r="W27" s="3"/>
      <c r="X27" s="3"/>
      <c r="Y27" s="3"/>
      <c r="Z27" s="3"/>
    </row>
    <row r="28" ht="13.5" customHeight="1">
      <c r="A28" s="32"/>
      <c r="B28" s="32"/>
      <c r="C28" s="1"/>
      <c r="D28" s="1"/>
      <c r="E28" s="1"/>
      <c r="F28" s="3"/>
      <c r="G28" s="3"/>
      <c r="H28" s="3"/>
      <c r="I28" s="3"/>
      <c r="J28" s="3"/>
      <c r="K28" s="3"/>
      <c r="L28" s="3"/>
      <c r="M28" s="3"/>
      <c r="N28" s="3"/>
      <c r="O28" s="3"/>
      <c r="P28" s="3"/>
      <c r="Q28" s="3"/>
      <c r="R28" s="3"/>
      <c r="S28" s="3"/>
      <c r="T28" s="3"/>
      <c r="U28" s="3"/>
      <c r="V28" s="3"/>
      <c r="W28" s="3"/>
      <c r="X28" s="3"/>
      <c r="Y28" s="3"/>
      <c r="Z28" s="3"/>
    </row>
    <row r="29" ht="15.0" customHeight="1">
      <c r="A29" s="9" t="s">
        <v>134</v>
      </c>
      <c r="B29" s="12"/>
      <c r="C29" s="12"/>
      <c r="D29" s="1"/>
      <c r="E29" s="1"/>
      <c r="F29" s="3"/>
      <c r="G29" s="3"/>
      <c r="H29" s="3"/>
      <c r="I29" s="3"/>
      <c r="J29" s="3"/>
      <c r="K29" s="3"/>
      <c r="L29" s="3"/>
      <c r="M29" s="3"/>
      <c r="N29" s="3"/>
      <c r="O29" s="3"/>
      <c r="P29" s="3"/>
      <c r="Q29" s="3"/>
      <c r="R29" s="3"/>
      <c r="S29" s="3"/>
      <c r="T29" s="3"/>
      <c r="U29" s="3"/>
      <c r="V29" s="3"/>
      <c r="W29" s="3"/>
      <c r="X29" s="3"/>
      <c r="Y29" s="3"/>
      <c r="Z29" s="3"/>
    </row>
    <row r="30" ht="15.0" customHeight="1">
      <c r="A30" s="16" t="s">
        <v>12</v>
      </c>
      <c r="B30" s="16" t="s">
        <v>14</v>
      </c>
      <c r="C30" s="16" t="s">
        <v>16</v>
      </c>
      <c r="D30" s="18"/>
      <c r="E30" s="1"/>
      <c r="F30" s="3"/>
      <c r="G30" s="3"/>
      <c r="H30" s="3"/>
      <c r="I30" s="3"/>
      <c r="J30" s="3"/>
      <c r="K30" s="3"/>
      <c r="L30" s="3"/>
      <c r="M30" s="3"/>
      <c r="N30" s="3"/>
      <c r="O30" s="3"/>
      <c r="P30" s="3"/>
      <c r="Q30" s="3"/>
      <c r="R30" s="3"/>
      <c r="S30" s="3"/>
      <c r="T30" s="3"/>
      <c r="U30" s="3"/>
      <c r="V30" s="3"/>
      <c r="W30" s="3"/>
      <c r="X30" s="3"/>
      <c r="Y30" s="3"/>
      <c r="Z30" s="3"/>
    </row>
    <row r="31" ht="21.75" customHeight="1">
      <c r="A31" s="20" t="s">
        <v>141</v>
      </c>
      <c r="B31" s="21">
        <v>0.4</v>
      </c>
      <c r="C31" s="23" t="s">
        <v>142</v>
      </c>
      <c r="D31" s="18"/>
      <c r="E31" s="1"/>
      <c r="F31" s="3"/>
      <c r="G31" s="3"/>
      <c r="H31" s="3"/>
      <c r="I31" s="3"/>
      <c r="J31" s="3"/>
      <c r="K31" s="3"/>
      <c r="L31" s="3"/>
      <c r="M31" s="3"/>
      <c r="N31" s="3"/>
      <c r="O31" s="3"/>
      <c r="P31" s="3"/>
      <c r="Q31" s="3"/>
      <c r="R31" s="3"/>
      <c r="S31" s="3"/>
      <c r="T31" s="3"/>
      <c r="U31" s="3"/>
      <c r="V31" s="3"/>
      <c r="W31" s="3"/>
      <c r="X31" s="3"/>
      <c r="Y31" s="3"/>
      <c r="Z31" s="3"/>
    </row>
    <row r="32" ht="15.0" customHeight="1">
      <c r="A32" s="20" t="s">
        <v>144</v>
      </c>
      <c r="B32" s="21">
        <v>0.35</v>
      </c>
      <c r="C32" s="23" t="s">
        <v>145</v>
      </c>
      <c r="D32" s="18"/>
      <c r="E32" s="1"/>
      <c r="F32" s="3"/>
      <c r="G32" s="3"/>
      <c r="H32" s="3"/>
      <c r="I32" s="3"/>
      <c r="J32" s="3"/>
      <c r="K32" s="3"/>
      <c r="L32" s="3"/>
      <c r="M32" s="3"/>
      <c r="N32" s="3"/>
      <c r="O32" s="3"/>
      <c r="P32" s="3"/>
      <c r="Q32" s="3"/>
      <c r="R32" s="3"/>
      <c r="S32" s="3"/>
      <c r="T32" s="3"/>
      <c r="U32" s="3"/>
      <c r="V32" s="3"/>
      <c r="W32" s="3"/>
      <c r="X32" s="3"/>
      <c r="Y32" s="3"/>
      <c r="Z32" s="3"/>
    </row>
    <row r="33" ht="15.0" customHeight="1">
      <c r="A33" s="20" t="s">
        <v>147</v>
      </c>
      <c r="B33" s="21">
        <v>0.25</v>
      </c>
      <c r="C33" s="23" t="s">
        <v>148</v>
      </c>
      <c r="D33" s="18"/>
      <c r="E33" s="1"/>
      <c r="F33" s="3"/>
      <c r="G33" s="3"/>
      <c r="H33" s="3"/>
      <c r="I33" s="3"/>
      <c r="J33" s="3"/>
      <c r="K33" s="3"/>
      <c r="L33" s="3"/>
      <c r="M33" s="3"/>
      <c r="N33" s="3"/>
      <c r="O33" s="3"/>
      <c r="P33" s="3"/>
      <c r="Q33" s="3"/>
      <c r="R33" s="3"/>
      <c r="S33" s="3"/>
      <c r="T33" s="3"/>
      <c r="U33" s="3"/>
      <c r="V33" s="3"/>
      <c r="W33" s="3"/>
      <c r="X33" s="3"/>
      <c r="Y33" s="3"/>
      <c r="Z33" s="3"/>
    </row>
    <row r="34" ht="15.0" customHeight="1">
      <c r="A34" s="27" t="s">
        <v>55</v>
      </c>
      <c r="B34" s="29">
        <f>SUM(B31:B33)</f>
        <v>1</v>
      </c>
      <c r="C34" s="31"/>
      <c r="D34" s="1"/>
      <c r="E34" s="1"/>
      <c r="F34" s="3"/>
      <c r="G34" s="3"/>
      <c r="H34" s="3"/>
      <c r="I34" s="3"/>
      <c r="J34" s="3"/>
      <c r="K34" s="3"/>
      <c r="L34" s="3"/>
      <c r="M34" s="3"/>
      <c r="N34" s="3"/>
      <c r="O34" s="3"/>
      <c r="P34" s="3"/>
      <c r="Q34" s="3"/>
      <c r="R34" s="3"/>
      <c r="S34" s="3"/>
      <c r="T34" s="3"/>
      <c r="U34" s="3"/>
      <c r="V34" s="3"/>
      <c r="W34" s="3"/>
      <c r="X34" s="3"/>
      <c r="Y34" s="3"/>
      <c r="Z34" s="3"/>
    </row>
    <row r="35" ht="13.5" customHeight="1">
      <c r="A35" s="32"/>
      <c r="B35" s="32"/>
      <c r="C35" s="1"/>
      <c r="D35" s="1"/>
      <c r="E35" s="1"/>
      <c r="F35" s="3"/>
      <c r="G35" s="3"/>
      <c r="H35" s="3"/>
      <c r="I35" s="3"/>
      <c r="J35" s="3"/>
      <c r="K35" s="3"/>
      <c r="L35" s="3"/>
      <c r="M35" s="3"/>
      <c r="N35" s="3"/>
      <c r="O35" s="3"/>
      <c r="P35" s="3"/>
      <c r="Q35" s="3"/>
      <c r="R35" s="3"/>
      <c r="S35" s="3"/>
      <c r="T35" s="3"/>
      <c r="U35" s="3"/>
      <c r="V35" s="3"/>
      <c r="W35" s="3"/>
      <c r="X35" s="3"/>
      <c r="Y35" s="3"/>
      <c r="Z35" s="3"/>
    </row>
    <row r="36" ht="15.0" customHeight="1">
      <c r="A36" s="9" t="s">
        <v>159</v>
      </c>
      <c r="B36" s="12"/>
      <c r="C36" s="12"/>
      <c r="D36" s="1"/>
      <c r="E36" s="1"/>
      <c r="F36" s="3"/>
      <c r="G36" s="3"/>
      <c r="H36" s="3"/>
      <c r="I36" s="3"/>
      <c r="J36" s="3"/>
      <c r="K36" s="3"/>
      <c r="L36" s="3"/>
      <c r="M36" s="3"/>
      <c r="N36" s="3"/>
      <c r="O36" s="3"/>
      <c r="P36" s="3"/>
      <c r="Q36" s="3"/>
      <c r="R36" s="3"/>
      <c r="S36" s="3"/>
      <c r="T36" s="3"/>
      <c r="U36" s="3"/>
      <c r="V36" s="3"/>
      <c r="W36" s="3"/>
      <c r="X36" s="3"/>
      <c r="Y36" s="3"/>
      <c r="Z36" s="3"/>
    </row>
    <row r="37" ht="15.0" customHeight="1">
      <c r="A37" s="16" t="s">
        <v>12</v>
      </c>
      <c r="B37" s="16" t="s">
        <v>14</v>
      </c>
      <c r="C37" s="16" t="s">
        <v>16</v>
      </c>
      <c r="D37" s="18"/>
      <c r="E37" s="1"/>
      <c r="F37" s="3"/>
      <c r="G37" s="3"/>
      <c r="H37" s="3"/>
      <c r="I37" s="3"/>
      <c r="J37" s="3"/>
      <c r="K37" s="3"/>
      <c r="L37" s="3"/>
      <c r="M37" s="3"/>
      <c r="N37" s="3"/>
      <c r="O37" s="3"/>
      <c r="P37" s="3"/>
      <c r="Q37" s="3"/>
      <c r="R37" s="3"/>
      <c r="S37" s="3"/>
      <c r="T37" s="3"/>
      <c r="U37" s="3"/>
      <c r="V37" s="3"/>
      <c r="W37" s="3"/>
      <c r="X37" s="3"/>
      <c r="Y37" s="3"/>
      <c r="Z37" s="3"/>
    </row>
    <row r="38" ht="15.0" customHeight="1">
      <c r="A38" s="20" t="s">
        <v>76</v>
      </c>
      <c r="B38" s="21">
        <v>0.3</v>
      </c>
      <c r="C38" s="23" t="s">
        <v>164</v>
      </c>
      <c r="D38" s="18"/>
      <c r="E38" s="1"/>
      <c r="F38" s="3"/>
      <c r="G38" s="3"/>
      <c r="H38" s="3"/>
      <c r="I38" s="3"/>
      <c r="J38" s="3"/>
      <c r="K38" s="3"/>
      <c r="L38" s="3"/>
      <c r="M38" s="3"/>
      <c r="N38" s="3"/>
      <c r="O38" s="3"/>
      <c r="P38" s="3"/>
      <c r="Q38" s="3"/>
      <c r="R38" s="3"/>
      <c r="S38" s="3"/>
      <c r="T38" s="3"/>
      <c r="U38" s="3"/>
      <c r="V38" s="3"/>
      <c r="W38" s="3"/>
      <c r="X38" s="3"/>
      <c r="Y38" s="3"/>
      <c r="Z38" s="3"/>
    </row>
    <row r="39" ht="15.0" customHeight="1">
      <c r="A39" s="20" t="s">
        <v>166</v>
      </c>
      <c r="B39" s="21">
        <v>0.3</v>
      </c>
      <c r="C39" s="23" t="s">
        <v>168</v>
      </c>
      <c r="D39" s="18"/>
      <c r="E39" s="1"/>
      <c r="F39" s="3"/>
      <c r="G39" s="3"/>
      <c r="H39" s="3"/>
      <c r="I39" s="3"/>
      <c r="J39" s="3"/>
      <c r="K39" s="3"/>
      <c r="L39" s="3"/>
      <c r="M39" s="3"/>
      <c r="N39" s="3"/>
      <c r="O39" s="3"/>
      <c r="P39" s="3"/>
      <c r="Q39" s="3"/>
      <c r="R39" s="3"/>
      <c r="S39" s="3"/>
      <c r="T39" s="3"/>
      <c r="U39" s="3"/>
      <c r="V39" s="3"/>
      <c r="W39" s="3"/>
      <c r="X39" s="3"/>
      <c r="Y39" s="3"/>
      <c r="Z39" s="3"/>
    </row>
    <row r="40" ht="15.0" customHeight="1">
      <c r="A40" s="20" t="s">
        <v>172</v>
      </c>
      <c r="B40" s="21">
        <v>0.25</v>
      </c>
      <c r="C40" s="23" t="s">
        <v>173</v>
      </c>
      <c r="D40" s="18"/>
      <c r="E40" s="1"/>
      <c r="F40" s="3"/>
      <c r="G40" s="3"/>
      <c r="H40" s="3"/>
      <c r="I40" s="3"/>
      <c r="J40" s="3"/>
      <c r="K40" s="3"/>
      <c r="L40" s="3"/>
      <c r="M40" s="3"/>
      <c r="N40" s="3"/>
      <c r="O40" s="3"/>
      <c r="P40" s="3"/>
      <c r="Q40" s="3"/>
      <c r="R40" s="3"/>
      <c r="S40" s="3"/>
      <c r="T40" s="3"/>
      <c r="U40" s="3"/>
      <c r="V40" s="3"/>
      <c r="W40" s="3"/>
      <c r="X40" s="3"/>
      <c r="Y40" s="3"/>
      <c r="Z40" s="3"/>
    </row>
    <row r="41" ht="21.75" customHeight="1">
      <c r="A41" s="20" t="s">
        <v>174</v>
      </c>
      <c r="B41" s="21">
        <v>0.15</v>
      </c>
      <c r="C41" s="23" t="s">
        <v>177</v>
      </c>
      <c r="D41" s="18"/>
      <c r="E41" s="1"/>
      <c r="F41" s="3"/>
      <c r="G41" s="3"/>
      <c r="H41" s="3"/>
      <c r="I41" s="3"/>
      <c r="J41" s="3"/>
      <c r="K41" s="3"/>
      <c r="L41" s="3"/>
      <c r="M41" s="3"/>
      <c r="N41" s="3"/>
      <c r="O41" s="3"/>
      <c r="P41" s="3"/>
      <c r="Q41" s="3"/>
      <c r="R41" s="3"/>
      <c r="S41" s="3"/>
      <c r="T41" s="3"/>
      <c r="U41" s="3"/>
      <c r="V41" s="3"/>
      <c r="W41" s="3"/>
      <c r="X41" s="3"/>
      <c r="Y41" s="3"/>
      <c r="Z41" s="3"/>
    </row>
    <row r="42" ht="15.0" customHeight="1">
      <c r="A42" s="27" t="s">
        <v>55</v>
      </c>
      <c r="B42" s="29">
        <f>SUM(B38:B41)</f>
        <v>1</v>
      </c>
      <c r="C42" s="31"/>
      <c r="D42" s="1"/>
      <c r="E42" s="1"/>
      <c r="F42" s="3"/>
      <c r="G42" s="3"/>
      <c r="H42" s="3"/>
      <c r="I42" s="3"/>
      <c r="J42" s="3"/>
      <c r="K42" s="3"/>
      <c r="L42" s="3"/>
      <c r="M42" s="3"/>
      <c r="N42" s="3"/>
      <c r="O42" s="3"/>
      <c r="P42" s="3"/>
      <c r="Q42" s="3"/>
      <c r="R42" s="3"/>
      <c r="S42" s="3"/>
      <c r="T42" s="3"/>
      <c r="U42" s="3"/>
      <c r="V42" s="3"/>
      <c r="W42" s="3"/>
      <c r="X42" s="3"/>
      <c r="Y42" s="3"/>
      <c r="Z42" s="3"/>
    </row>
    <row r="43" ht="13.5" customHeight="1">
      <c r="A43" s="32"/>
      <c r="B43" s="32"/>
      <c r="C43" s="1"/>
      <c r="D43" s="1"/>
      <c r="E43" s="1"/>
      <c r="F43" s="3"/>
      <c r="G43" s="3"/>
      <c r="H43" s="3"/>
      <c r="I43" s="3"/>
      <c r="J43" s="3"/>
      <c r="K43" s="3"/>
      <c r="L43" s="3"/>
      <c r="M43" s="3"/>
      <c r="N43" s="3"/>
      <c r="O43" s="3"/>
      <c r="P43" s="3"/>
      <c r="Q43" s="3"/>
      <c r="R43" s="3"/>
      <c r="S43" s="3"/>
      <c r="T43" s="3"/>
      <c r="U43" s="3"/>
      <c r="V43" s="3"/>
      <c r="W43" s="3"/>
      <c r="X43" s="3"/>
      <c r="Y43" s="3"/>
      <c r="Z43" s="3"/>
    </row>
    <row r="44" ht="15.0" customHeight="1">
      <c r="A44" s="9" t="s">
        <v>192</v>
      </c>
      <c r="B44" s="12"/>
      <c r="C44" s="12"/>
      <c r="D44" s="1"/>
      <c r="E44" s="1"/>
      <c r="F44" s="3"/>
      <c r="G44" s="3"/>
      <c r="H44" s="3"/>
      <c r="I44" s="3"/>
      <c r="J44" s="3"/>
      <c r="K44" s="3"/>
      <c r="L44" s="3"/>
      <c r="M44" s="3"/>
      <c r="N44" s="3"/>
      <c r="O44" s="3"/>
      <c r="P44" s="3"/>
      <c r="Q44" s="3"/>
      <c r="R44" s="3"/>
      <c r="S44" s="3"/>
      <c r="T44" s="3"/>
      <c r="U44" s="3"/>
      <c r="V44" s="3"/>
      <c r="W44" s="3"/>
      <c r="X44" s="3"/>
      <c r="Y44" s="3"/>
      <c r="Z44" s="3"/>
    </row>
    <row r="45" ht="15.0" customHeight="1">
      <c r="A45" s="16" t="s">
        <v>193</v>
      </c>
      <c r="B45" s="16" t="s">
        <v>195</v>
      </c>
      <c r="C45" s="16" t="s">
        <v>16</v>
      </c>
      <c r="D45" s="18"/>
      <c r="E45" s="1"/>
      <c r="F45" s="3"/>
      <c r="G45" s="3"/>
      <c r="H45" s="3"/>
      <c r="I45" s="3"/>
      <c r="J45" s="3"/>
      <c r="K45" s="3"/>
      <c r="L45" s="3"/>
      <c r="M45" s="3"/>
      <c r="N45" s="3"/>
      <c r="O45" s="3"/>
      <c r="P45" s="3"/>
      <c r="Q45" s="3"/>
      <c r="R45" s="3"/>
      <c r="S45" s="3"/>
      <c r="T45" s="3"/>
      <c r="U45" s="3"/>
      <c r="V45" s="3"/>
      <c r="W45" s="3"/>
      <c r="X45" s="3"/>
      <c r="Y45" s="3"/>
      <c r="Z45" s="3"/>
    </row>
    <row r="46" ht="15.0" customHeight="1">
      <c r="A46" s="20" t="s">
        <v>198</v>
      </c>
      <c r="B46" s="21">
        <v>0.2</v>
      </c>
      <c r="C46" s="23" t="s">
        <v>199</v>
      </c>
      <c r="D46" s="18"/>
      <c r="E46" s="1"/>
      <c r="F46" s="3"/>
      <c r="G46" s="3"/>
      <c r="H46" s="3"/>
      <c r="I46" s="3"/>
      <c r="J46" s="3"/>
      <c r="K46" s="3"/>
      <c r="L46" s="3"/>
      <c r="M46" s="3"/>
      <c r="N46" s="3"/>
      <c r="O46" s="3"/>
      <c r="P46" s="3"/>
      <c r="Q46" s="3"/>
      <c r="R46" s="3"/>
      <c r="S46" s="3"/>
      <c r="T46" s="3"/>
      <c r="U46" s="3"/>
      <c r="V46" s="3"/>
      <c r="W46" s="3"/>
      <c r="X46" s="3"/>
      <c r="Y46" s="3"/>
      <c r="Z46" s="3"/>
    </row>
    <row r="47" ht="15.0" customHeight="1">
      <c r="A47" s="20" t="s">
        <v>203</v>
      </c>
      <c r="B47" s="21">
        <v>0.3</v>
      </c>
      <c r="C47" s="41"/>
      <c r="D47" s="18"/>
      <c r="E47" s="1"/>
      <c r="F47" s="3"/>
      <c r="G47" s="3"/>
      <c r="H47" s="3"/>
      <c r="I47" s="3"/>
      <c r="J47" s="3"/>
      <c r="K47" s="3"/>
      <c r="L47" s="3"/>
      <c r="M47" s="3"/>
      <c r="N47" s="3"/>
      <c r="O47" s="3"/>
      <c r="P47" s="3"/>
      <c r="Q47" s="3"/>
      <c r="R47" s="3"/>
      <c r="S47" s="3"/>
      <c r="T47" s="3"/>
      <c r="U47" s="3"/>
      <c r="V47" s="3"/>
      <c r="W47" s="3"/>
      <c r="X47" s="3"/>
      <c r="Y47" s="3"/>
      <c r="Z47" s="3"/>
    </row>
    <row r="48" ht="15.0" customHeight="1">
      <c r="A48" s="20" t="s">
        <v>207</v>
      </c>
      <c r="B48" s="21">
        <v>0.3</v>
      </c>
      <c r="C48" s="41"/>
      <c r="D48" s="18"/>
      <c r="E48" s="1"/>
      <c r="F48" s="3"/>
      <c r="G48" s="3"/>
      <c r="H48" s="3"/>
      <c r="I48" s="3"/>
      <c r="J48" s="3"/>
      <c r="K48" s="3"/>
      <c r="L48" s="3"/>
      <c r="M48" s="3"/>
      <c r="N48" s="3"/>
      <c r="O48" s="3"/>
      <c r="P48" s="3"/>
      <c r="Q48" s="3"/>
      <c r="R48" s="3"/>
      <c r="S48" s="3"/>
      <c r="T48" s="3"/>
      <c r="U48" s="3"/>
      <c r="V48" s="3"/>
      <c r="W48" s="3"/>
      <c r="X48" s="3"/>
      <c r="Y48" s="3"/>
      <c r="Z48" s="3"/>
    </row>
    <row r="49" ht="15.0" customHeight="1">
      <c r="A49" s="20" t="s">
        <v>211</v>
      </c>
      <c r="B49" s="21">
        <v>0.25</v>
      </c>
      <c r="C49" s="41"/>
      <c r="D49" s="18"/>
      <c r="E49" s="1"/>
      <c r="F49" s="3"/>
      <c r="G49" s="3"/>
      <c r="H49" s="3"/>
      <c r="I49" s="3"/>
      <c r="J49" s="3"/>
      <c r="K49" s="3"/>
      <c r="L49" s="3"/>
      <c r="M49" s="3"/>
      <c r="N49" s="3"/>
      <c r="O49" s="3"/>
      <c r="P49" s="3"/>
      <c r="Q49" s="3"/>
      <c r="R49" s="3"/>
      <c r="S49" s="3"/>
      <c r="T49" s="3"/>
      <c r="U49" s="3"/>
      <c r="V49" s="3"/>
      <c r="W49" s="3"/>
      <c r="X49" s="3"/>
      <c r="Y49" s="3"/>
      <c r="Z49" s="3"/>
    </row>
    <row r="50" ht="15.0" customHeight="1">
      <c r="A50" s="20" t="s">
        <v>212</v>
      </c>
      <c r="B50" s="21">
        <v>0.15</v>
      </c>
      <c r="C50" s="23" t="s">
        <v>213</v>
      </c>
      <c r="D50" s="18"/>
      <c r="E50" s="1"/>
      <c r="F50" s="3"/>
      <c r="G50" s="3"/>
      <c r="H50" s="3"/>
      <c r="I50" s="3"/>
      <c r="J50" s="3"/>
      <c r="K50" s="3"/>
      <c r="L50" s="3"/>
      <c r="M50" s="3"/>
      <c r="N50" s="3"/>
      <c r="O50" s="3"/>
      <c r="P50" s="3"/>
      <c r="Q50" s="3"/>
      <c r="R50" s="3"/>
      <c r="S50" s="3"/>
      <c r="T50" s="3"/>
      <c r="U50" s="3"/>
      <c r="V50" s="3"/>
      <c r="W50" s="3"/>
      <c r="X50" s="3"/>
      <c r="Y50" s="3"/>
      <c r="Z50" s="3"/>
    </row>
    <row r="51" ht="15.0" customHeight="1">
      <c r="A51" s="20" t="s">
        <v>214</v>
      </c>
      <c r="B51" s="43">
        <v>2.0</v>
      </c>
      <c r="C51" s="23" t="s">
        <v>215</v>
      </c>
      <c r="D51" s="18"/>
      <c r="E51" s="1"/>
      <c r="F51" s="3"/>
      <c r="G51" s="3"/>
      <c r="H51" s="3"/>
      <c r="I51" s="3"/>
      <c r="J51" s="3"/>
      <c r="K51" s="3"/>
      <c r="L51" s="3"/>
      <c r="M51" s="3"/>
      <c r="N51" s="3"/>
      <c r="O51" s="3"/>
      <c r="P51" s="3"/>
      <c r="Q51" s="3"/>
      <c r="R51" s="3"/>
      <c r="S51" s="3"/>
      <c r="T51" s="3"/>
      <c r="U51" s="3"/>
      <c r="V51" s="3"/>
      <c r="W51" s="3"/>
      <c r="X51" s="3"/>
      <c r="Y51" s="3"/>
      <c r="Z51" s="3"/>
    </row>
    <row r="52" ht="15.0" customHeight="1">
      <c r="A52" s="20" t="s">
        <v>217</v>
      </c>
      <c r="B52" s="43">
        <v>70.0</v>
      </c>
      <c r="C52" s="23" t="s">
        <v>218</v>
      </c>
      <c r="D52" s="18"/>
      <c r="E52" s="1"/>
      <c r="F52" s="3"/>
      <c r="G52" s="3"/>
      <c r="H52" s="3"/>
      <c r="I52" s="3"/>
      <c r="J52" s="3"/>
      <c r="K52" s="3"/>
      <c r="L52" s="3"/>
      <c r="M52" s="3"/>
      <c r="N52" s="3"/>
      <c r="O52" s="3"/>
      <c r="P52" s="3"/>
      <c r="Q52" s="3"/>
      <c r="R52" s="3"/>
      <c r="S52" s="3"/>
      <c r="T52" s="3"/>
      <c r="U52" s="3"/>
      <c r="V52" s="3"/>
      <c r="W52" s="3"/>
      <c r="X52" s="3"/>
      <c r="Y52" s="3"/>
      <c r="Z52" s="3"/>
    </row>
    <row r="53" ht="13.5" customHeight="1">
      <c r="A53" s="32"/>
      <c r="B53" s="32"/>
      <c r="C53" s="32"/>
      <c r="D53" s="1"/>
      <c r="E53" s="1"/>
      <c r="F53" s="3"/>
      <c r="G53" s="3"/>
      <c r="H53" s="3"/>
      <c r="I53" s="3"/>
      <c r="J53" s="3"/>
      <c r="K53" s="3"/>
      <c r="L53" s="3"/>
      <c r="M53" s="3"/>
      <c r="N53" s="3"/>
      <c r="O53" s="3"/>
      <c r="P53" s="3"/>
      <c r="Q53" s="3"/>
      <c r="R53" s="3"/>
      <c r="S53" s="3"/>
      <c r="T53" s="3"/>
      <c r="U53" s="3"/>
      <c r="V53" s="3"/>
      <c r="W53" s="3"/>
      <c r="X53" s="3"/>
      <c r="Y53" s="3"/>
      <c r="Z53" s="3"/>
    </row>
    <row r="54" ht="15.0" customHeight="1">
      <c r="A54" s="9" t="s">
        <v>219</v>
      </c>
      <c r="B54" s="12"/>
      <c r="C54" s="12"/>
      <c r="D54" s="1"/>
      <c r="E54" s="1"/>
      <c r="F54" s="3"/>
      <c r="G54" s="3"/>
      <c r="H54" s="3"/>
      <c r="I54" s="3"/>
      <c r="J54" s="3"/>
      <c r="K54" s="3"/>
      <c r="L54" s="3"/>
      <c r="M54" s="3"/>
      <c r="N54" s="3"/>
      <c r="O54" s="3"/>
      <c r="P54" s="3"/>
      <c r="Q54" s="3"/>
      <c r="R54" s="3"/>
      <c r="S54" s="3"/>
      <c r="T54" s="3"/>
      <c r="U54" s="3"/>
      <c r="V54" s="3"/>
      <c r="W54" s="3"/>
      <c r="X54" s="3"/>
      <c r="Y54" s="3"/>
      <c r="Z54" s="3"/>
    </row>
    <row r="55" ht="15.0" customHeight="1">
      <c r="A55" s="16" t="s">
        <v>220</v>
      </c>
      <c r="B55" s="16" t="s">
        <v>221</v>
      </c>
      <c r="C55" s="16" t="s">
        <v>222</v>
      </c>
      <c r="D55" s="18"/>
      <c r="E55" s="1"/>
      <c r="F55" s="3"/>
      <c r="G55" s="3"/>
      <c r="H55" s="3"/>
      <c r="I55" s="3"/>
      <c r="J55" s="3"/>
      <c r="K55" s="3"/>
      <c r="L55" s="3"/>
      <c r="M55" s="3"/>
      <c r="N55" s="3"/>
      <c r="O55" s="3"/>
      <c r="P55" s="3"/>
      <c r="Q55" s="3"/>
      <c r="R55" s="3"/>
      <c r="S55" s="3"/>
      <c r="T55" s="3"/>
      <c r="U55" s="3"/>
      <c r="V55" s="3"/>
      <c r="W55" s="3"/>
      <c r="X55" s="3"/>
      <c r="Y55" s="3"/>
      <c r="Z55" s="3"/>
    </row>
    <row r="56" ht="32.25" customHeight="1">
      <c r="A56" s="20" t="s">
        <v>223</v>
      </c>
      <c r="B56" s="23" t="s">
        <v>224</v>
      </c>
      <c r="C56" s="23" t="s">
        <v>225</v>
      </c>
      <c r="D56" s="18"/>
      <c r="E56" s="1"/>
      <c r="F56" s="3"/>
      <c r="G56" s="3"/>
      <c r="H56" s="3"/>
      <c r="I56" s="3"/>
      <c r="J56" s="3"/>
      <c r="K56" s="3"/>
      <c r="L56" s="3"/>
      <c r="M56" s="3"/>
      <c r="N56" s="3"/>
      <c r="O56" s="3"/>
      <c r="P56" s="3"/>
      <c r="Q56" s="3"/>
      <c r="R56" s="3"/>
      <c r="S56" s="3"/>
      <c r="T56" s="3"/>
      <c r="U56" s="3"/>
      <c r="V56" s="3"/>
      <c r="W56" s="3"/>
      <c r="X56" s="3"/>
      <c r="Y56" s="3"/>
      <c r="Z56" s="3"/>
    </row>
    <row r="57" ht="42.75" customHeight="1">
      <c r="A57" s="20" t="s">
        <v>226</v>
      </c>
      <c r="B57" s="23" t="s">
        <v>227</v>
      </c>
      <c r="C57" s="23" t="s">
        <v>228</v>
      </c>
      <c r="D57" s="18"/>
      <c r="E57" s="1"/>
      <c r="F57" s="3"/>
      <c r="G57" s="3"/>
      <c r="H57" s="3"/>
      <c r="I57" s="3"/>
      <c r="J57" s="3"/>
      <c r="K57" s="3"/>
      <c r="L57" s="3"/>
      <c r="M57" s="3"/>
      <c r="N57" s="3"/>
      <c r="O57" s="3"/>
      <c r="P57" s="3"/>
      <c r="Q57" s="3"/>
      <c r="R57" s="3"/>
      <c r="S57" s="3"/>
      <c r="T57" s="3"/>
      <c r="U57" s="3"/>
      <c r="V57" s="3"/>
      <c r="W57" s="3"/>
      <c r="X57" s="3"/>
      <c r="Y57" s="3"/>
      <c r="Z57" s="3"/>
    </row>
    <row r="58" ht="21.75" customHeight="1">
      <c r="A58" s="20" t="s">
        <v>229</v>
      </c>
      <c r="B58" s="23" t="s">
        <v>230</v>
      </c>
      <c r="C58" s="23" t="s">
        <v>231</v>
      </c>
      <c r="D58" s="18"/>
      <c r="E58" s="1"/>
      <c r="F58" s="3"/>
      <c r="G58" s="3"/>
      <c r="H58" s="3"/>
      <c r="I58" s="3"/>
      <c r="J58" s="3"/>
      <c r="K58" s="3"/>
      <c r="L58" s="3"/>
      <c r="M58" s="3"/>
      <c r="N58" s="3"/>
      <c r="O58" s="3"/>
      <c r="P58" s="3"/>
      <c r="Q58" s="3"/>
      <c r="R58" s="3"/>
      <c r="S58" s="3"/>
      <c r="T58" s="3"/>
      <c r="U58" s="3"/>
      <c r="V58" s="3"/>
      <c r="W58" s="3"/>
      <c r="X58" s="3"/>
      <c r="Y58" s="3"/>
      <c r="Z58" s="3"/>
    </row>
    <row r="59" ht="53.25" customHeight="1">
      <c r="A59" s="20" t="s">
        <v>232</v>
      </c>
      <c r="B59" s="23" t="s">
        <v>233</v>
      </c>
      <c r="C59" s="23" t="s">
        <v>228</v>
      </c>
      <c r="D59" s="18"/>
      <c r="E59" s="1"/>
      <c r="F59" s="3"/>
      <c r="G59" s="3"/>
      <c r="H59" s="3"/>
      <c r="I59" s="3"/>
      <c r="J59" s="3"/>
      <c r="K59" s="3"/>
      <c r="L59" s="3"/>
      <c r="M59" s="3"/>
      <c r="N59" s="3"/>
      <c r="O59" s="3"/>
      <c r="P59" s="3"/>
      <c r="Q59" s="3"/>
      <c r="R59" s="3"/>
      <c r="S59" s="3"/>
      <c r="T59" s="3"/>
      <c r="U59" s="3"/>
      <c r="V59" s="3"/>
      <c r="W59" s="3"/>
      <c r="X59" s="3"/>
      <c r="Y59" s="3"/>
      <c r="Z59" s="3"/>
    </row>
    <row r="60" ht="32.25" customHeight="1">
      <c r="A60" s="20" t="s">
        <v>234</v>
      </c>
      <c r="B60" s="23" t="s">
        <v>235</v>
      </c>
      <c r="C60" s="23" t="s">
        <v>236</v>
      </c>
      <c r="D60" s="18"/>
      <c r="E60" s="1"/>
      <c r="F60" s="3"/>
      <c r="G60" s="3"/>
      <c r="H60" s="3"/>
      <c r="I60" s="3"/>
      <c r="J60" s="3"/>
      <c r="K60" s="3"/>
      <c r="L60" s="3"/>
      <c r="M60" s="3"/>
      <c r="N60" s="3"/>
      <c r="O60" s="3"/>
      <c r="P60" s="3"/>
      <c r="Q60" s="3"/>
      <c r="R60" s="3"/>
      <c r="S60" s="3"/>
      <c r="T60" s="3"/>
      <c r="U60" s="3"/>
      <c r="V60" s="3"/>
      <c r="W60" s="3"/>
      <c r="X60" s="3"/>
      <c r="Y60" s="3"/>
      <c r="Z60" s="3"/>
    </row>
    <row r="61" ht="32.25" customHeight="1">
      <c r="A61" s="20" t="s">
        <v>237</v>
      </c>
      <c r="B61" s="23" t="s">
        <v>238</v>
      </c>
      <c r="C61" s="23" t="s">
        <v>239</v>
      </c>
      <c r="D61" s="18"/>
      <c r="E61" s="1"/>
      <c r="F61" s="3"/>
      <c r="G61" s="3"/>
      <c r="H61" s="3"/>
      <c r="I61" s="3"/>
      <c r="J61" s="3"/>
      <c r="K61" s="3"/>
      <c r="L61" s="3"/>
      <c r="M61" s="3"/>
      <c r="N61" s="3"/>
      <c r="O61" s="3"/>
      <c r="P61" s="3"/>
      <c r="Q61" s="3"/>
      <c r="R61" s="3"/>
      <c r="S61" s="3"/>
      <c r="T61" s="3"/>
      <c r="U61" s="3"/>
      <c r="V61" s="3"/>
      <c r="W61" s="3"/>
      <c r="X61" s="3"/>
      <c r="Y61" s="3"/>
      <c r="Z61" s="3"/>
    </row>
    <row r="62" ht="14.2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4.2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4.2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4.2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4.2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4.2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4.2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4.2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4.2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4.2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4.2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4.2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4.2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4.2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4.2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4.2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4.2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4.2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4.2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4.2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4.2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4.2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4.2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4.2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4.2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4.2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4.2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4.2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4.2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4.2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4.2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4.2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4.2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4.2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4.2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4.2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4.2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4.2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4.2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4.2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4.2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4.2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4.2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4.2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4.2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4.2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4.2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4.2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4.2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4.2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4.2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4.2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4.2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4.2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4.2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4.2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4.2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4.2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4.2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4.2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4.2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4.2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4.2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4.2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4.2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4.2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4.2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4.2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4.2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4.2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4.2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4.2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4.2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4.2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4.2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4.2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4.2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4.2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4.2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4.2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4.2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4.2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4.2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4.2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4.2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4.2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4.2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4.2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4.2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4.2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4.2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4.2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4.2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4.2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4.2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4.2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4.2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4.2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4.2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4.2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4.2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4.2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4.2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4.2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4.2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4.2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4.2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4.2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4.2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4.2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4.2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4.2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4.2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4.2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4.2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4.2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4.2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4.2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4.2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4.2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4.2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4.2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4.2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4.2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4.2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4.2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4.2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4.2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4.2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4.2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4.2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4.2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4.2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4.2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4.2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4.2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4.2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4.2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4.2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4.2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4.2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4.2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4.2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4.2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4.2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4.2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4.2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4.2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4.2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4.2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4.2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4.2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4.2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4.2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4.2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4.2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4.2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4.2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4.2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4.2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4.2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4.2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4.2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4.2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4.2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4.2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4.2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4.2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4.2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4.2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4.2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4.2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4.2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4.2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4.2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4.2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4.2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4.2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4.2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4.2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4.2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4.2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4.2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4.2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4.2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4.2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4.2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4.2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4.2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4.2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4.2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4.2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4.2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4.2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4.2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4.2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4.2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4.2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4.2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4.2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4.2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4.2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4.2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4.2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4.2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4.2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4.2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4.2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4.2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4.2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4.2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4.2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4.2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4.2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4.2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4.2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4.2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4.2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4.2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4.2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4.2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4.2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4.2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4.2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4.2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4.2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4.2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4.2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4.2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4.2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4.2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4.2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4.2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4.2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4.2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4.2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4.2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4.2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4.2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4.2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4.2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4.2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4.2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4.2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4.2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4.2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4.2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4.2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4.2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4.2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4.2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4.2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4.2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4.2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4.2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4.2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4.2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4.2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4.2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4.2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4.2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4.2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4.2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4.2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4.2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4.2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4.2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4.2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4.2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4.2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4.2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4.2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4.2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4.2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4.2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4.2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4.2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4.2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4.2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4.2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4.2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4.2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4.2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4.2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4.2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4.2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4.2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4.2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4.2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4.2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4.2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4.2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4.2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4.2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4.2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4.2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4.2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4.2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4.2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4.2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4.2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4.2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4.2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4.2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4.2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4.2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4.2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4.2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4.2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4.2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4.2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4.2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4.2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4.2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4.2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4.2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4.2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4.2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4.2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4.2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4.2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4.2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4.2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4.2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4.2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4.2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4.2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4.2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4.2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4.2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4.2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4.2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4.2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4.2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4.2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4.2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4.2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4.2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4.2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4.2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4.2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4.2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4.2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4.2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4.2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4.2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4.2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4.2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4.2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4.2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4.2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4.2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4.2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4.2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4.2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4.2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4.2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4.2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4.2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4.2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4.2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4.2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4.2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4.2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4.2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4.2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4.2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4.2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4.2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4.2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4.2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4.2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4.2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4.2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4.2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4.2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4.2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4.2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4.2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4.2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4.2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4.2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4.2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4.2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4.2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4.2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4.2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4.2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4.2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4.2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4.2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4.2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4.2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4.2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4.2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4.2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4.2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4.2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4.2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4.2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4.2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4.2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4.2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4.2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4.2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4.2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4.2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4.2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4.2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4.2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4.2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4.2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4.2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4.2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4.2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4.2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4.2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4.2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4.2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4.2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4.2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4.2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4.2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4.2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4.2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4.2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4.2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4.2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4.2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4.2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4.2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4.2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4.2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4.2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4.2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4.2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4.2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4.2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4.2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4.2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4.2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4.2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4.2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4.2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4.2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4.2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4.2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4.2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4.2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4.2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4.2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4.2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4.2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4.2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4.2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4.2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4.2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4.2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4.2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4.2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4.2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4.2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4.2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4.2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4.2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4.2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4.2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4.2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4.2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4.2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4.2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4.2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4.2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4.2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4.2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4.2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4.2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4.2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4.2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4.2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4.2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4.2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4.2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4.2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4.2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4.2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4.2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4.2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4.2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4.2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4.2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4.2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4.2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4.2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4.2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4.2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4.2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4.2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4.2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4.2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4.2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4.2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4.2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4.2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4.2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4.2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4.2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4.2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4.2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4.2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4.2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4.2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4.2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4.2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4.2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4.2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4.2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4.2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4.2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4.2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4.2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4.2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4.2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4.2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4.2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4.2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4.2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4.2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4.2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4.2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4.2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4.2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4.2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4.2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4.2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4.2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4.2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4.2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4.2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4.2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4.2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4.2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4.2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4.2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4.2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4.2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4.2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4.2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4.2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4.2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4.2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4.2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4.2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4.2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4.2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4.2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4.2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4.2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4.2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4.2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4.2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4.2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4.2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4.2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4.2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4.2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4.2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4.2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4.2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4.2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4.2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4.2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4.2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4.2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4.2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4.2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4.2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4.2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4.2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4.2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4.2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4.2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4.2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4.2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4.2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4.2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4.2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4.2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4.2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4.2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4.2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4.2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4.2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4.2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4.2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4.2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4.2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4.2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4.2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4.2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4.2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4.2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4.2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4.2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4.2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4.2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4.2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4.2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4.2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4.2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4.2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4.2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4.2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4.2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4.2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4.2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4.2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4.2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4.2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4.2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4.2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4.2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4.2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4.2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4.2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4.2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4.2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4.2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4.2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4.2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4.2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4.2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4.2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4.2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4.2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4.2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4.2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4.2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4.2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4.2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4.2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4.2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4.2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4.2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4.2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4.2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4.2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4.2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4.2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4.2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4.2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4.2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4.2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4.2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4.2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4.2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4.2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4.2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4.2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4.2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4.2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4.2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4.2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4.2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4.2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4.2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4.2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4.2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4.2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4.2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4.2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4.2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4.2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4.2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4.2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4.2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4.2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4.2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4.2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4.2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4.2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4.2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4.2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4.2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4.2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4.2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4.2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4.2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4.2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4.2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4.2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4.2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4.2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4.2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4.2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4.2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4.2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4.2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4.2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4.2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4.2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4.2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4.2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4.2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4.2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4.2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4.2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4.2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4.2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4.2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4.2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4.2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4.2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4.2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4.2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4.2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4.2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4.2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4.2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4.2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4.2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4.2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4.2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4.2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4.2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4.2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4.2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4.2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4.2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4.2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4.2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4.2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4.2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4.2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4.2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4.2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4.2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4.2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4.2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4.2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4.2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4.2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4.2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4.2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4.2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4.2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4.2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4.2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4.2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4.2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4.2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4.2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4.2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4.2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4.2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4.2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4.2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4.2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4.2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4.2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4.2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4.2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4.2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4.2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4.2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4.2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4.2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4.2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4.2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4.2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4.2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4.2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4.2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4.2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4.2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4.2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4.2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4.2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4.2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4.2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4.2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4.2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4.2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4.2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4.2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4.2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4.2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4.2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4.2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4.2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4.2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4.2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4.2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4.2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4.2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4.2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4.2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4.2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4.2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4.2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4.2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4.2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4.2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4.2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4.2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4.2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4.2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4.2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4.2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4.2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4.2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4.2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4.2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4.2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4.2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4.2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4.2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4.2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4.2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4.2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4.2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4.2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4.2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4.2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4.2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4.2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4.2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4.2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4.2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4.2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4.2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4.2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4.2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4.2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4.2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4.2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4.2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4.2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4.2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4.2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4.2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4.2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4.2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4.2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4.2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4.2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4.2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4.2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4.2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4.2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4.2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4.2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4.2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4.2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4.2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4.2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4.2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4.2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4.2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4.2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4.2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4.2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4.2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4.2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4.2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4.2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4.2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4.2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4.2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4.2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4.2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4.2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4.2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4.2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4.2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4.2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4.2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4.2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4.2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4.2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4.2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4.2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4.2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4.2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4.2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4.2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4.2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4.2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4.2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4.2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4.2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4.2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4.2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4.2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4.2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4.2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4.2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4.2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4.2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4.2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4.2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4.2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4.2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4.2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4.2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4.2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4.2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4.2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4.2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4.2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4.2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4.2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4.2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4.2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4.2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4.2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4.2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4.2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4.2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4.2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4.2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4.2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4.2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4.2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4.2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4.2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4.2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4.2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4.2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4.2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4.2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4.2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4.2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4.2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4.2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4.2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4.2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4.2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4.2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1.0" footer="0.0" header="0.0" left="0.75" right="0.75" top="1.0"/>
  <pageSetup orientation="portrait"/>
  <headerFooter>
    <oddFooter>&amp;C000000&amp;P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0"/>
    <col customWidth="1" min="2" max="2" width="60.0"/>
    <col customWidth="1" min="3" max="3" width="34.0"/>
    <col customWidth="1" min="4" max="4" width="46.0"/>
    <col customWidth="1" min="5" max="26" width="8.71"/>
  </cols>
  <sheetData>
    <row r="1" ht="17.25" customHeight="1">
      <c r="A1" s="6" t="s">
        <v>7</v>
      </c>
      <c r="B1" s="1"/>
      <c r="C1" s="1"/>
      <c r="D1" s="1"/>
      <c r="E1" s="1"/>
      <c r="F1" s="3"/>
      <c r="G1" s="3"/>
      <c r="H1" s="3"/>
      <c r="I1" s="3"/>
      <c r="J1" s="3"/>
      <c r="K1" s="3"/>
      <c r="L1" s="3"/>
      <c r="M1" s="3"/>
      <c r="N1" s="3"/>
      <c r="O1" s="3"/>
      <c r="P1" s="3"/>
      <c r="Q1" s="3"/>
      <c r="R1" s="3"/>
      <c r="S1" s="3"/>
      <c r="T1" s="3"/>
      <c r="U1" s="3"/>
      <c r="V1" s="3"/>
      <c r="W1" s="3"/>
      <c r="X1" s="3"/>
      <c r="Y1" s="3"/>
      <c r="Z1" s="3"/>
    </row>
    <row r="2" ht="13.5" customHeight="1">
      <c r="A2" s="1"/>
      <c r="B2" s="1"/>
      <c r="C2" s="1"/>
      <c r="D2" s="1"/>
      <c r="E2" s="1"/>
      <c r="F2" s="3"/>
      <c r="G2" s="3"/>
      <c r="H2" s="3"/>
      <c r="I2" s="3"/>
      <c r="J2" s="3"/>
      <c r="K2" s="3"/>
      <c r="L2" s="3"/>
      <c r="M2" s="3"/>
      <c r="N2" s="3"/>
      <c r="O2" s="3"/>
      <c r="P2" s="3"/>
      <c r="Q2" s="3"/>
      <c r="R2" s="3"/>
      <c r="S2" s="3"/>
      <c r="T2" s="3"/>
      <c r="U2" s="3"/>
      <c r="V2" s="3"/>
      <c r="W2" s="3"/>
      <c r="X2" s="3"/>
      <c r="Y2" s="3"/>
      <c r="Z2" s="3"/>
    </row>
    <row r="3" ht="99.75" customHeight="1">
      <c r="A3" s="10" t="s">
        <v>10</v>
      </c>
      <c r="B3" s="11"/>
      <c r="C3" s="11"/>
      <c r="D3" s="14"/>
      <c r="E3" s="1"/>
      <c r="F3" s="3"/>
      <c r="G3" s="3"/>
      <c r="H3" s="3"/>
      <c r="I3" s="3"/>
      <c r="J3" s="3"/>
      <c r="K3" s="3"/>
      <c r="L3" s="3"/>
      <c r="M3" s="3"/>
      <c r="N3" s="3"/>
      <c r="O3" s="3"/>
      <c r="P3" s="3"/>
      <c r="Q3" s="3"/>
      <c r="R3" s="3"/>
      <c r="S3" s="3"/>
      <c r="T3" s="3"/>
      <c r="U3" s="3"/>
      <c r="V3" s="3"/>
      <c r="W3" s="3"/>
      <c r="X3" s="3"/>
      <c r="Y3" s="3"/>
      <c r="Z3" s="3"/>
    </row>
    <row r="4" ht="13.5" customHeight="1">
      <c r="A4" s="1"/>
      <c r="B4" s="1"/>
      <c r="C4" s="1"/>
      <c r="D4" s="1"/>
      <c r="E4" s="1"/>
      <c r="F4" s="3"/>
      <c r="G4" s="3"/>
      <c r="H4" s="3"/>
      <c r="I4" s="3"/>
      <c r="J4" s="3"/>
      <c r="K4" s="3"/>
      <c r="L4" s="3"/>
      <c r="M4" s="3"/>
      <c r="N4" s="3"/>
      <c r="O4" s="3"/>
      <c r="P4" s="3"/>
      <c r="Q4" s="3"/>
      <c r="R4" s="3"/>
      <c r="S4" s="3"/>
      <c r="T4" s="3"/>
      <c r="U4" s="3"/>
      <c r="V4" s="3"/>
      <c r="W4" s="3"/>
      <c r="X4" s="3"/>
      <c r="Y4" s="3"/>
      <c r="Z4" s="3"/>
    </row>
    <row r="5" ht="14.25" customHeight="1">
      <c r="A5" s="19" t="s">
        <v>17</v>
      </c>
      <c r="B5" s="12"/>
      <c r="C5" s="12"/>
      <c r="D5" s="12"/>
      <c r="E5" s="1"/>
      <c r="F5" s="3"/>
      <c r="G5" s="3"/>
      <c r="H5" s="3"/>
      <c r="I5" s="3"/>
      <c r="J5" s="3"/>
      <c r="K5" s="3"/>
      <c r="L5" s="3"/>
      <c r="M5" s="3"/>
      <c r="N5" s="3"/>
      <c r="O5" s="3"/>
      <c r="P5" s="3"/>
      <c r="Q5" s="3"/>
      <c r="R5" s="3"/>
      <c r="S5" s="3"/>
      <c r="T5" s="3"/>
      <c r="U5" s="3"/>
      <c r="V5" s="3"/>
      <c r="W5" s="3"/>
      <c r="X5" s="3"/>
      <c r="Y5" s="3"/>
      <c r="Z5" s="3"/>
    </row>
    <row r="6" ht="13.5" customHeight="1">
      <c r="A6" s="22" t="s">
        <v>12</v>
      </c>
      <c r="B6" s="22" t="s">
        <v>26</v>
      </c>
      <c r="C6" s="22" t="s">
        <v>27</v>
      </c>
      <c r="D6" s="22" t="s">
        <v>28</v>
      </c>
      <c r="E6" s="18"/>
      <c r="F6" s="3"/>
      <c r="G6" s="3"/>
      <c r="H6" s="3"/>
      <c r="I6" s="3"/>
      <c r="J6" s="3"/>
      <c r="K6" s="3"/>
      <c r="L6" s="3"/>
      <c r="M6" s="3"/>
      <c r="N6" s="3"/>
      <c r="O6" s="3"/>
      <c r="P6" s="3"/>
      <c r="Q6" s="3"/>
      <c r="R6" s="3"/>
      <c r="S6" s="3"/>
      <c r="T6" s="3"/>
      <c r="U6" s="3"/>
      <c r="V6" s="3"/>
      <c r="W6" s="3"/>
      <c r="X6" s="3"/>
      <c r="Y6" s="3"/>
      <c r="Z6" s="3"/>
    </row>
    <row r="7" ht="57.0" customHeight="1">
      <c r="A7" s="24" t="s">
        <v>34</v>
      </c>
      <c r="B7" s="25" t="s">
        <v>37</v>
      </c>
      <c r="C7" s="25" t="s">
        <v>40</v>
      </c>
      <c r="D7" s="25" t="s">
        <v>41</v>
      </c>
      <c r="E7" s="18"/>
      <c r="F7" s="3"/>
      <c r="G7" s="3"/>
      <c r="H7" s="3"/>
      <c r="I7" s="3"/>
      <c r="J7" s="3"/>
      <c r="K7" s="3"/>
      <c r="L7" s="3"/>
      <c r="M7" s="3"/>
      <c r="N7" s="3"/>
      <c r="O7" s="3"/>
      <c r="P7" s="3"/>
      <c r="Q7" s="3"/>
      <c r="R7" s="3"/>
      <c r="S7" s="3"/>
      <c r="T7" s="3"/>
      <c r="U7" s="3"/>
      <c r="V7" s="3"/>
      <c r="W7" s="3"/>
      <c r="X7" s="3"/>
      <c r="Y7" s="3"/>
      <c r="Z7" s="3"/>
    </row>
    <row r="8" ht="45.0" customHeight="1">
      <c r="A8" s="20" t="s">
        <v>31</v>
      </c>
      <c r="B8" s="26" t="s">
        <v>48</v>
      </c>
      <c r="C8" s="26" t="s">
        <v>52</v>
      </c>
      <c r="D8" s="26" t="s">
        <v>53</v>
      </c>
      <c r="E8" s="18"/>
      <c r="F8" s="3"/>
      <c r="G8" s="3"/>
      <c r="H8" s="3"/>
      <c r="I8" s="3"/>
      <c r="J8" s="3"/>
      <c r="K8" s="3"/>
      <c r="L8" s="3"/>
      <c r="M8" s="3"/>
      <c r="N8" s="3"/>
      <c r="O8" s="3"/>
      <c r="P8" s="3"/>
      <c r="Q8" s="3"/>
      <c r="R8" s="3"/>
      <c r="S8" s="3"/>
      <c r="T8" s="3"/>
      <c r="U8" s="3"/>
      <c r="V8" s="3"/>
      <c r="W8" s="3"/>
      <c r="X8" s="3"/>
      <c r="Y8" s="3"/>
      <c r="Z8" s="3"/>
    </row>
    <row r="9" ht="45.0" customHeight="1">
      <c r="A9" s="24" t="s">
        <v>36</v>
      </c>
      <c r="B9" s="25" t="s">
        <v>56</v>
      </c>
      <c r="C9" s="25" t="s">
        <v>57</v>
      </c>
      <c r="D9" s="25" t="s">
        <v>58</v>
      </c>
      <c r="E9" s="18"/>
      <c r="F9" s="3"/>
      <c r="G9" s="3"/>
      <c r="H9" s="3"/>
      <c r="I9" s="3"/>
      <c r="J9" s="3"/>
      <c r="K9" s="3"/>
      <c r="L9" s="3"/>
      <c r="M9" s="3"/>
      <c r="N9" s="3"/>
      <c r="O9" s="3"/>
      <c r="P9" s="3"/>
      <c r="Q9" s="3"/>
      <c r="R9" s="3"/>
      <c r="S9" s="3"/>
      <c r="T9" s="3"/>
      <c r="U9" s="3"/>
      <c r="V9" s="3"/>
      <c r="W9" s="3"/>
      <c r="X9" s="3"/>
      <c r="Y9" s="3"/>
      <c r="Z9" s="3"/>
    </row>
    <row r="10" ht="33.75" customHeight="1">
      <c r="A10" s="20" t="s">
        <v>43</v>
      </c>
      <c r="B10" s="26" t="s">
        <v>60</v>
      </c>
      <c r="C10" s="26" t="s">
        <v>61</v>
      </c>
      <c r="D10" s="26" t="s">
        <v>62</v>
      </c>
      <c r="E10" s="18"/>
      <c r="F10" s="3"/>
      <c r="G10" s="3"/>
      <c r="H10" s="3"/>
      <c r="I10" s="3"/>
      <c r="J10" s="3"/>
      <c r="K10" s="3"/>
      <c r="L10" s="3"/>
      <c r="M10" s="3"/>
      <c r="N10" s="3"/>
      <c r="O10" s="3"/>
      <c r="P10" s="3"/>
      <c r="Q10" s="3"/>
      <c r="R10" s="3"/>
      <c r="S10" s="3"/>
      <c r="T10" s="3"/>
      <c r="U10" s="3"/>
      <c r="V10" s="3"/>
      <c r="W10" s="3"/>
      <c r="X10" s="3"/>
      <c r="Y10" s="3"/>
      <c r="Z10" s="3"/>
    </row>
    <row r="11" ht="22.5" customHeight="1">
      <c r="A11" s="24" t="s">
        <v>47</v>
      </c>
      <c r="B11" s="25" t="s">
        <v>63</v>
      </c>
      <c r="C11" s="25" t="s">
        <v>64</v>
      </c>
      <c r="D11" s="25" t="s">
        <v>65</v>
      </c>
      <c r="E11" s="18"/>
      <c r="F11" s="3"/>
      <c r="G11" s="3"/>
      <c r="H11" s="3"/>
      <c r="I11" s="3"/>
      <c r="J11" s="3"/>
      <c r="K11" s="3"/>
      <c r="L11" s="3"/>
      <c r="M11" s="3"/>
      <c r="N11" s="3"/>
      <c r="O11" s="3"/>
      <c r="P11" s="3"/>
      <c r="Q11" s="3"/>
      <c r="R11" s="3"/>
      <c r="S11" s="3"/>
      <c r="T11" s="3"/>
      <c r="U11" s="3"/>
      <c r="V11" s="3"/>
      <c r="W11" s="3"/>
      <c r="X11" s="3"/>
      <c r="Y11" s="3"/>
      <c r="Z11" s="3"/>
    </row>
    <row r="12" ht="14.25" customHeight="1">
      <c r="A12" s="28" t="s">
        <v>66</v>
      </c>
      <c r="B12" s="30"/>
      <c r="C12" s="30"/>
      <c r="D12" s="30"/>
      <c r="E12" s="1"/>
      <c r="F12" s="3"/>
      <c r="G12" s="3"/>
      <c r="H12" s="3"/>
      <c r="I12" s="3"/>
      <c r="J12" s="3"/>
      <c r="K12" s="3"/>
      <c r="L12" s="3"/>
      <c r="M12" s="3"/>
      <c r="N12" s="3"/>
      <c r="O12" s="3"/>
      <c r="P12" s="3"/>
      <c r="Q12" s="3"/>
      <c r="R12" s="3"/>
      <c r="S12" s="3"/>
      <c r="T12" s="3"/>
      <c r="U12" s="3"/>
      <c r="V12" s="3"/>
      <c r="W12" s="3"/>
      <c r="X12" s="3"/>
      <c r="Y12" s="3"/>
      <c r="Z12" s="3"/>
    </row>
    <row r="13" ht="13.5" customHeight="1">
      <c r="A13" s="22" t="s">
        <v>12</v>
      </c>
      <c r="B13" s="22" t="s">
        <v>26</v>
      </c>
      <c r="C13" s="22" t="s">
        <v>27</v>
      </c>
      <c r="D13" s="22" t="s">
        <v>28</v>
      </c>
      <c r="E13" s="18"/>
      <c r="F13" s="3"/>
      <c r="G13" s="3"/>
      <c r="H13" s="3"/>
      <c r="I13" s="3"/>
      <c r="J13" s="3"/>
      <c r="K13" s="3"/>
      <c r="L13" s="3"/>
      <c r="M13" s="3"/>
      <c r="N13" s="3"/>
      <c r="O13" s="3"/>
      <c r="P13" s="3"/>
      <c r="Q13" s="3"/>
      <c r="R13" s="3"/>
      <c r="S13" s="3"/>
      <c r="T13" s="3"/>
      <c r="U13" s="3"/>
      <c r="V13" s="3"/>
      <c r="W13" s="3"/>
      <c r="X13" s="3"/>
      <c r="Y13" s="3"/>
      <c r="Z13" s="3"/>
    </row>
    <row r="14" ht="22.5" customHeight="1">
      <c r="A14" s="24" t="s">
        <v>34</v>
      </c>
      <c r="B14" s="25" t="s">
        <v>67</v>
      </c>
      <c r="C14" s="25" t="s">
        <v>68</v>
      </c>
      <c r="D14" s="25" t="s">
        <v>69</v>
      </c>
      <c r="E14" s="18"/>
      <c r="F14" s="3"/>
      <c r="G14" s="3"/>
      <c r="H14" s="3"/>
      <c r="I14" s="3"/>
      <c r="J14" s="3"/>
      <c r="K14" s="3"/>
      <c r="L14" s="3"/>
      <c r="M14" s="3"/>
      <c r="N14" s="3"/>
      <c r="O14" s="3"/>
      <c r="P14" s="3"/>
      <c r="Q14" s="3"/>
      <c r="R14" s="3"/>
      <c r="S14" s="3"/>
      <c r="T14" s="3"/>
      <c r="U14" s="3"/>
      <c r="V14" s="3"/>
      <c r="W14" s="3"/>
      <c r="X14" s="3"/>
      <c r="Y14" s="3"/>
      <c r="Z14" s="3"/>
    </row>
    <row r="15" ht="33.75" customHeight="1">
      <c r="A15" s="20" t="s">
        <v>31</v>
      </c>
      <c r="B15" s="26" t="s">
        <v>71</v>
      </c>
      <c r="C15" s="26" t="s">
        <v>72</v>
      </c>
      <c r="D15" s="26" t="s">
        <v>73</v>
      </c>
      <c r="E15" s="18"/>
      <c r="F15" s="3"/>
      <c r="G15" s="3"/>
      <c r="H15" s="3"/>
      <c r="I15" s="3"/>
      <c r="J15" s="3"/>
      <c r="K15" s="3"/>
      <c r="L15" s="3"/>
      <c r="M15" s="3"/>
      <c r="N15" s="3"/>
      <c r="O15" s="3"/>
      <c r="P15" s="3"/>
      <c r="Q15" s="3"/>
      <c r="R15" s="3"/>
      <c r="S15" s="3"/>
      <c r="T15" s="3"/>
      <c r="U15" s="3"/>
      <c r="V15" s="3"/>
      <c r="W15" s="3"/>
      <c r="X15" s="3"/>
      <c r="Y15" s="3"/>
      <c r="Z15" s="3"/>
    </row>
    <row r="16" ht="33.75" customHeight="1">
      <c r="A16" s="24" t="s">
        <v>36</v>
      </c>
      <c r="B16" s="25" t="s">
        <v>74</v>
      </c>
      <c r="C16" s="25" t="s">
        <v>75</v>
      </c>
      <c r="D16" s="25" t="s">
        <v>77</v>
      </c>
      <c r="E16" s="18"/>
      <c r="F16" s="3"/>
      <c r="G16" s="3"/>
      <c r="H16" s="3"/>
      <c r="I16" s="3"/>
      <c r="J16" s="3"/>
      <c r="K16" s="3"/>
      <c r="L16" s="3"/>
      <c r="M16" s="3"/>
      <c r="N16" s="3"/>
      <c r="O16" s="3"/>
      <c r="P16" s="3"/>
      <c r="Q16" s="3"/>
      <c r="R16" s="3"/>
      <c r="S16" s="3"/>
      <c r="T16" s="3"/>
      <c r="U16" s="3"/>
      <c r="V16" s="3"/>
      <c r="W16" s="3"/>
      <c r="X16" s="3"/>
      <c r="Y16" s="3"/>
      <c r="Z16" s="3"/>
    </row>
    <row r="17" ht="22.5" customHeight="1">
      <c r="A17" s="20" t="s">
        <v>43</v>
      </c>
      <c r="B17" s="26" t="s">
        <v>79</v>
      </c>
      <c r="C17" s="26" t="s">
        <v>80</v>
      </c>
      <c r="D17" s="26" t="s">
        <v>82</v>
      </c>
      <c r="E17" s="18"/>
      <c r="F17" s="3"/>
      <c r="G17" s="3"/>
      <c r="H17" s="3"/>
      <c r="I17" s="3"/>
      <c r="J17" s="3"/>
      <c r="K17" s="3"/>
      <c r="L17" s="3"/>
      <c r="M17" s="3"/>
      <c r="N17" s="3"/>
      <c r="O17" s="3"/>
      <c r="P17" s="3"/>
      <c r="Q17" s="3"/>
      <c r="R17" s="3"/>
      <c r="S17" s="3"/>
      <c r="T17" s="3"/>
      <c r="U17" s="3"/>
      <c r="V17" s="3"/>
      <c r="W17" s="3"/>
      <c r="X17" s="3"/>
      <c r="Y17" s="3"/>
      <c r="Z17" s="3"/>
    </row>
    <row r="18" ht="22.5" customHeight="1">
      <c r="A18" s="24" t="s">
        <v>47</v>
      </c>
      <c r="B18" s="25" t="s">
        <v>84</v>
      </c>
      <c r="C18" s="25" t="s">
        <v>85</v>
      </c>
      <c r="D18" s="25" t="s">
        <v>87</v>
      </c>
      <c r="E18" s="18"/>
      <c r="F18" s="3"/>
      <c r="G18" s="3"/>
      <c r="H18" s="3"/>
      <c r="I18" s="3"/>
      <c r="J18" s="3"/>
      <c r="K18" s="3"/>
      <c r="L18" s="3"/>
      <c r="M18" s="3"/>
      <c r="N18" s="3"/>
      <c r="O18" s="3"/>
      <c r="P18" s="3"/>
      <c r="Q18" s="3"/>
      <c r="R18" s="3"/>
      <c r="S18" s="3"/>
      <c r="T18" s="3"/>
      <c r="U18" s="3"/>
      <c r="V18" s="3"/>
      <c r="W18" s="3"/>
      <c r="X18" s="3"/>
      <c r="Y18" s="3"/>
      <c r="Z18" s="3"/>
    </row>
    <row r="19" ht="14.25" customHeight="1">
      <c r="A19" s="28" t="s">
        <v>89</v>
      </c>
      <c r="B19" s="30"/>
      <c r="C19" s="30"/>
      <c r="D19" s="30"/>
      <c r="E19" s="1"/>
      <c r="F19" s="3"/>
      <c r="G19" s="3"/>
      <c r="H19" s="3"/>
      <c r="I19" s="3"/>
      <c r="J19" s="3"/>
      <c r="K19" s="3"/>
      <c r="L19" s="3"/>
      <c r="M19" s="3"/>
      <c r="N19" s="3"/>
      <c r="O19" s="3"/>
      <c r="P19" s="3"/>
      <c r="Q19" s="3"/>
      <c r="R19" s="3"/>
      <c r="S19" s="3"/>
      <c r="T19" s="3"/>
      <c r="U19" s="3"/>
      <c r="V19" s="3"/>
      <c r="W19" s="3"/>
      <c r="X19" s="3"/>
      <c r="Y19" s="3"/>
      <c r="Z19" s="3"/>
    </row>
    <row r="20" ht="13.5" customHeight="1">
      <c r="A20" s="22" t="s">
        <v>12</v>
      </c>
      <c r="B20" s="22" t="s">
        <v>26</v>
      </c>
      <c r="C20" s="22" t="s">
        <v>27</v>
      </c>
      <c r="D20" s="22" t="s">
        <v>28</v>
      </c>
      <c r="E20" s="18"/>
      <c r="F20" s="3"/>
      <c r="G20" s="3"/>
      <c r="H20" s="3"/>
      <c r="I20" s="3"/>
      <c r="J20" s="3"/>
      <c r="K20" s="3"/>
      <c r="L20" s="3"/>
      <c r="M20" s="3"/>
      <c r="N20" s="3"/>
      <c r="O20" s="3"/>
      <c r="P20" s="3"/>
      <c r="Q20" s="3"/>
      <c r="R20" s="3"/>
      <c r="S20" s="3"/>
      <c r="T20" s="3"/>
      <c r="U20" s="3"/>
      <c r="V20" s="3"/>
      <c r="W20" s="3"/>
      <c r="X20" s="3"/>
      <c r="Y20" s="3"/>
      <c r="Z20" s="3"/>
    </row>
    <row r="21" ht="22.5" customHeight="1">
      <c r="A21" s="20" t="s">
        <v>34</v>
      </c>
      <c r="B21" s="26" t="s">
        <v>94</v>
      </c>
      <c r="C21" s="26" t="s">
        <v>95</v>
      </c>
      <c r="D21" s="26" t="s">
        <v>96</v>
      </c>
      <c r="E21" s="18"/>
      <c r="F21" s="3"/>
      <c r="G21" s="3"/>
      <c r="H21" s="3"/>
      <c r="I21" s="3"/>
      <c r="J21" s="3"/>
      <c r="K21" s="3"/>
      <c r="L21" s="3"/>
      <c r="M21" s="3"/>
      <c r="N21" s="3"/>
      <c r="O21" s="3"/>
      <c r="P21" s="3"/>
      <c r="Q21" s="3"/>
      <c r="R21" s="3"/>
      <c r="S21" s="3"/>
      <c r="T21" s="3"/>
      <c r="U21" s="3"/>
      <c r="V21" s="3"/>
      <c r="W21" s="3"/>
      <c r="X21" s="3"/>
      <c r="Y21" s="3"/>
      <c r="Z21" s="3"/>
    </row>
    <row r="22" ht="33.75" customHeight="1">
      <c r="A22" s="24" t="s">
        <v>31</v>
      </c>
      <c r="B22" s="25" t="s">
        <v>97</v>
      </c>
      <c r="C22" s="25" t="s">
        <v>98</v>
      </c>
      <c r="D22" s="25" t="s">
        <v>99</v>
      </c>
      <c r="E22" s="18"/>
      <c r="F22" s="3"/>
      <c r="G22" s="3"/>
      <c r="H22" s="3"/>
      <c r="I22" s="3"/>
      <c r="J22" s="3"/>
      <c r="K22" s="3"/>
      <c r="L22" s="3"/>
      <c r="M22" s="3"/>
      <c r="N22" s="3"/>
      <c r="O22" s="3"/>
      <c r="P22" s="3"/>
      <c r="Q22" s="3"/>
      <c r="R22" s="3"/>
      <c r="S22" s="3"/>
      <c r="T22" s="3"/>
      <c r="U22" s="3"/>
      <c r="V22" s="3"/>
      <c r="W22" s="3"/>
      <c r="X22" s="3"/>
      <c r="Y22" s="3"/>
      <c r="Z22" s="3"/>
    </row>
    <row r="23" ht="22.5" customHeight="1">
      <c r="A23" s="20" t="s">
        <v>36</v>
      </c>
      <c r="B23" s="26" t="s">
        <v>100</v>
      </c>
      <c r="C23" s="26" t="s">
        <v>101</v>
      </c>
      <c r="D23" s="26" t="s">
        <v>102</v>
      </c>
      <c r="E23" s="18"/>
      <c r="F23" s="3"/>
      <c r="G23" s="3"/>
      <c r="H23" s="3"/>
      <c r="I23" s="3"/>
      <c r="J23" s="3"/>
      <c r="K23" s="3"/>
      <c r="L23" s="3"/>
      <c r="M23" s="3"/>
      <c r="N23" s="3"/>
      <c r="O23" s="3"/>
      <c r="P23" s="3"/>
      <c r="Q23" s="3"/>
      <c r="R23" s="3"/>
      <c r="S23" s="3"/>
      <c r="T23" s="3"/>
      <c r="U23" s="3"/>
      <c r="V23" s="3"/>
      <c r="W23" s="3"/>
      <c r="X23" s="3"/>
      <c r="Y23" s="3"/>
      <c r="Z23" s="3"/>
    </row>
    <row r="24" ht="22.5" customHeight="1">
      <c r="A24" s="24" t="s">
        <v>43</v>
      </c>
      <c r="B24" s="25" t="s">
        <v>104</v>
      </c>
      <c r="C24" s="25" t="s">
        <v>105</v>
      </c>
      <c r="D24" s="25" t="s">
        <v>106</v>
      </c>
      <c r="E24" s="18"/>
      <c r="F24" s="3"/>
      <c r="G24" s="3"/>
      <c r="H24" s="3"/>
      <c r="I24" s="3"/>
      <c r="J24" s="3"/>
      <c r="K24" s="3"/>
      <c r="L24" s="3"/>
      <c r="M24" s="3"/>
      <c r="N24" s="3"/>
      <c r="O24" s="3"/>
      <c r="P24" s="3"/>
      <c r="Q24" s="3"/>
      <c r="R24" s="3"/>
      <c r="S24" s="3"/>
      <c r="T24" s="3"/>
      <c r="U24" s="3"/>
      <c r="V24" s="3"/>
      <c r="W24" s="3"/>
      <c r="X24" s="3"/>
      <c r="Y24" s="3"/>
      <c r="Z24" s="3"/>
    </row>
    <row r="25" ht="22.5" customHeight="1">
      <c r="A25" s="20" t="s">
        <v>47</v>
      </c>
      <c r="B25" s="26" t="s">
        <v>108</v>
      </c>
      <c r="C25" s="26" t="s">
        <v>109</v>
      </c>
      <c r="D25" s="26" t="s">
        <v>111</v>
      </c>
      <c r="E25" s="18"/>
      <c r="F25" s="3"/>
      <c r="G25" s="3"/>
      <c r="H25" s="3"/>
      <c r="I25" s="3"/>
      <c r="J25" s="3"/>
      <c r="K25" s="3"/>
      <c r="L25" s="3"/>
      <c r="M25" s="3"/>
      <c r="N25" s="3"/>
      <c r="O25" s="3"/>
      <c r="P25" s="3"/>
      <c r="Q25" s="3"/>
      <c r="R25" s="3"/>
      <c r="S25" s="3"/>
      <c r="T25" s="3"/>
      <c r="U25" s="3"/>
      <c r="V25" s="3"/>
      <c r="W25" s="3"/>
      <c r="X25" s="3"/>
      <c r="Y25" s="3"/>
      <c r="Z25" s="3"/>
    </row>
    <row r="26" ht="14.25" customHeight="1">
      <c r="A26" s="28" t="s">
        <v>113</v>
      </c>
      <c r="B26" s="30"/>
      <c r="C26" s="30"/>
      <c r="D26" s="30"/>
      <c r="E26" s="1"/>
      <c r="F26" s="3"/>
      <c r="G26" s="3"/>
      <c r="H26" s="3"/>
      <c r="I26" s="3"/>
      <c r="J26" s="3"/>
      <c r="K26" s="3"/>
      <c r="L26" s="3"/>
      <c r="M26" s="3"/>
      <c r="N26" s="3"/>
      <c r="O26" s="3"/>
      <c r="P26" s="3"/>
      <c r="Q26" s="3"/>
      <c r="R26" s="3"/>
      <c r="S26" s="3"/>
      <c r="T26" s="3"/>
      <c r="U26" s="3"/>
      <c r="V26" s="3"/>
      <c r="W26" s="3"/>
      <c r="X26" s="3"/>
      <c r="Y26" s="3"/>
      <c r="Z26" s="3"/>
    </row>
    <row r="27" ht="13.5" customHeight="1">
      <c r="A27" s="22" t="s">
        <v>12</v>
      </c>
      <c r="B27" s="22" t="s">
        <v>26</v>
      </c>
      <c r="C27" s="22" t="s">
        <v>27</v>
      </c>
      <c r="D27" s="22" t="s">
        <v>28</v>
      </c>
      <c r="E27" s="18"/>
      <c r="F27" s="3"/>
      <c r="G27" s="3"/>
      <c r="H27" s="3"/>
      <c r="I27" s="3"/>
      <c r="J27" s="3"/>
      <c r="K27" s="3"/>
      <c r="L27" s="3"/>
      <c r="M27" s="3"/>
      <c r="N27" s="3"/>
      <c r="O27" s="3"/>
      <c r="P27" s="3"/>
      <c r="Q27" s="3"/>
      <c r="R27" s="3"/>
      <c r="S27" s="3"/>
      <c r="T27" s="3"/>
      <c r="U27" s="3"/>
      <c r="V27" s="3"/>
      <c r="W27" s="3"/>
      <c r="X27" s="3"/>
      <c r="Y27" s="3"/>
      <c r="Z27" s="3"/>
    </row>
    <row r="28" ht="57.0" customHeight="1">
      <c r="A28" s="24" t="s">
        <v>76</v>
      </c>
      <c r="B28" s="25" t="s">
        <v>121</v>
      </c>
      <c r="C28" s="25" t="s">
        <v>122</v>
      </c>
      <c r="D28" s="25" t="s">
        <v>123</v>
      </c>
      <c r="E28" s="18"/>
      <c r="F28" s="3"/>
      <c r="G28" s="3"/>
      <c r="H28" s="3"/>
      <c r="I28" s="3"/>
      <c r="J28" s="3"/>
      <c r="K28" s="3"/>
      <c r="L28" s="3"/>
      <c r="M28" s="3"/>
      <c r="N28" s="3"/>
      <c r="O28" s="3"/>
      <c r="P28" s="3"/>
      <c r="Q28" s="3"/>
      <c r="R28" s="3"/>
      <c r="S28" s="3"/>
      <c r="T28" s="3"/>
      <c r="U28" s="3"/>
      <c r="V28" s="3"/>
      <c r="W28" s="3"/>
      <c r="X28" s="3"/>
      <c r="Y28" s="3"/>
      <c r="Z28" s="3"/>
    </row>
    <row r="29" ht="57.0" customHeight="1">
      <c r="A29" s="20" t="s">
        <v>124</v>
      </c>
      <c r="B29" s="26" t="s">
        <v>128</v>
      </c>
      <c r="C29" s="26" t="s">
        <v>129</v>
      </c>
      <c r="D29" s="26" t="s">
        <v>130</v>
      </c>
      <c r="E29" s="18"/>
      <c r="F29" s="3"/>
      <c r="G29" s="3"/>
      <c r="H29" s="3"/>
      <c r="I29" s="3"/>
      <c r="J29" s="3"/>
      <c r="K29" s="3"/>
      <c r="L29" s="3"/>
      <c r="M29" s="3"/>
      <c r="N29" s="3"/>
      <c r="O29" s="3"/>
      <c r="P29" s="3"/>
      <c r="Q29" s="3"/>
      <c r="R29" s="3"/>
      <c r="S29" s="3"/>
      <c r="T29" s="3"/>
      <c r="U29" s="3"/>
      <c r="V29" s="3"/>
      <c r="W29" s="3"/>
      <c r="X29" s="3"/>
      <c r="Y29" s="3"/>
      <c r="Z29" s="3"/>
    </row>
    <row r="30" ht="33.75" customHeight="1">
      <c r="A30" s="24" t="s">
        <v>86</v>
      </c>
      <c r="B30" s="25" t="s">
        <v>131</v>
      </c>
      <c r="C30" s="25" t="s">
        <v>132</v>
      </c>
      <c r="D30" s="25" t="s">
        <v>133</v>
      </c>
      <c r="E30" s="18"/>
      <c r="F30" s="3"/>
      <c r="G30" s="3"/>
      <c r="H30" s="3"/>
      <c r="I30" s="3"/>
      <c r="J30" s="3"/>
      <c r="K30" s="3"/>
      <c r="L30" s="3"/>
      <c r="M30" s="3"/>
      <c r="N30" s="3"/>
      <c r="O30" s="3"/>
      <c r="P30" s="3"/>
      <c r="Q30" s="3"/>
      <c r="R30" s="3"/>
      <c r="S30" s="3"/>
      <c r="T30" s="3"/>
      <c r="U30" s="3"/>
      <c r="V30" s="3"/>
      <c r="W30" s="3"/>
      <c r="X30" s="3"/>
      <c r="Y30" s="3"/>
      <c r="Z30" s="3"/>
    </row>
    <row r="31" ht="45.0" customHeight="1">
      <c r="A31" s="20" t="s">
        <v>90</v>
      </c>
      <c r="B31" s="26" t="s">
        <v>135</v>
      </c>
      <c r="C31" s="26" t="s">
        <v>136</v>
      </c>
      <c r="D31" s="26" t="s">
        <v>137</v>
      </c>
      <c r="E31" s="18"/>
      <c r="F31" s="3"/>
      <c r="G31" s="3"/>
      <c r="H31" s="3"/>
      <c r="I31" s="3"/>
      <c r="J31" s="3"/>
      <c r="K31" s="3"/>
      <c r="L31" s="3"/>
      <c r="M31" s="3"/>
      <c r="N31" s="3"/>
      <c r="O31" s="3"/>
      <c r="P31" s="3"/>
      <c r="Q31" s="3"/>
      <c r="R31" s="3"/>
      <c r="S31" s="3"/>
      <c r="T31" s="3"/>
      <c r="U31" s="3"/>
      <c r="V31" s="3"/>
      <c r="W31" s="3"/>
      <c r="X31" s="3"/>
      <c r="Y31" s="3"/>
      <c r="Z31" s="3"/>
    </row>
    <row r="32" ht="45.0" customHeight="1">
      <c r="A32" s="24" t="s">
        <v>92</v>
      </c>
      <c r="B32" s="25" t="s">
        <v>138</v>
      </c>
      <c r="C32" s="25" t="s">
        <v>139</v>
      </c>
      <c r="D32" s="25" t="s">
        <v>140</v>
      </c>
      <c r="E32" s="18"/>
      <c r="F32" s="3"/>
      <c r="G32" s="3"/>
      <c r="H32" s="3"/>
      <c r="I32" s="3"/>
      <c r="J32" s="3"/>
      <c r="K32" s="3"/>
      <c r="L32" s="3"/>
      <c r="M32" s="3"/>
      <c r="N32" s="3"/>
      <c r="O32" s="3"/>
      <c r="P32" s="3"/>
      <c r="Q32" s="3"/>
      <c r="R32" s="3"/>
      <c r="S32" s="3"/>
      <c r="T32" s="3"/>
      <c r="U32" s="3"/>
      <c r="V32" s="3"/>
      <c r="W32" s="3"/>
      <c r="X32" s="3"/>
      <c r="Y32" s="3"/>
      <c r="Z32" s="3"/>
    </row>
    <row r="33" ht="14.25" customHeight="1">
      <c r="A33" s="28" t="s">
        <v>143</v>
      </c>
      <c r="B33" s="30"/>
      <c r="C33" s="30"/>
      <c r="D33" s="30"/>
      <c r="E33" s="1"/>
      <c r="F33" s="3"/>
      <c r="G33" s="3"/>
      <c r="H33" s="3"/>
      <c r="I33" s="3"/>
      <c r="J33" s="3"/>
      <c r="K33" s="3"/>
      <c r="L33" s="3"/>
      <c r="M33" s="3"/>
      <c r="N33" s="3"/>
      <c r="O33" s="3"/>
      <c r="P33" s="3"/>
      <c r="Q33" s="3"/>
      <c r="R33" s="3"/>
      <c r="S33" s="3"/>
      <c r="T33" s="3"/>
      <c r="U33" s="3"/>
      <c r="V33" s="3"/>
      <c r="W33" s="3"/>
      <c r="X33" s="3"/>
      <c r="Y33" s="3"/>
      <c r="Z33" s="3"/>
    </row>
    <row r="34" ht="13.5" customHeight="1">
      <c r="A34" s="22" t="s">
        <v>12</v>
      </c>
      <c r="B34" s="22" t="s">
        <v>26</v>
      </c>
      <c r="C34" s="22" t="s">
        <v>27</v>
      </c>
      <c r="D34" s="22" t="s">
        <v>28</v>
      </c>
      <c r="E34" s="18"/>
      <c r="F34" s="3"/>
      <c r="G34" s="3"/>
      <c r="H34" s="3"/>
      <c r="I34" s="3"/>
      <c r="J34" s="3"/>
      <c r="K34" s="3"/>
      <c r="L34" s="3"/>
      <c r="M34" s="3"/>
      <c r="N34" s="3"/>
      <c r="O34" s="3"/>
      <c r="P34" s="3"/>
      <c r="Q34" s="3"/>
      <c r="R34" s="3"/>
      <c r="S34" s="3"/>
      <c r="T34" s="3"/>
      <c r="U34" s="3"/>
      <c r="V34" s="3"/>
      <c r="W34" s="3"/>
      <c r="X34" s="3"/>
      <c r="Y34" s="3"/>
      <c r="Z34" s="3"/>
    </row>
    <row r="35" ht="57.0" customHeight="1">
      <c r="A35" s="24" t="s">
        <v>149</v>
      </c>
      <c r="B35" s="25" t="s">
        <v>150</v>
      </c>
      <c r="C35" s="25" t="s">
        <v>151</v>
      </c>
      <c r="D35" s="25" t="s">
        <v>152</v>
      </c>
      <c r="E35" s="18"/>
      <c r="F35" s="3"/>
      <c r="G35" s="3"/>
      <c r="H35" s="3"/>
      <c r="I35" s="3"/>
      <c r="J35" s="3"/>
      <c r="K35" s="3"/>
      <c r="L35" s="3"/>
      <c r="M35" s="3"/>
      <c r="N35" s="3"/>
      <c r="O35" s="3"/>
      <c r="P35" s="3"/>
      <c r="Q35" s="3"/>
      <c r="R35" s="3"/>
      <c r="S35" s="3"/>
      <c r="T35" s="3"/>
      <c r="U35" s="3"/>
      <c r="V35" s="3"/>
      <c r="W35" s="3"/>
      <c r="X35" s="3"/>
      <c r="Y35" s="3"/>
      <c r="Z35" s="3"/>
    </row>
    <row r="36" ht="33.75" customHeight="1">
      <c r="A36" s="20" t="s">
        <v>114</v>
      </c>
      <c r="B36" s="26" t="s">
        <v>153</v>
      </c>
      <c r="C36" s="26" t="s">
        <v>154</v>
      </c>
      <c r="D36" s="26" t="s">
        <v>155</v>
      </c>
      <c r="E36" s="18"/>
      <c r="F36" s="3"/>
      <c r="G36" s="3"/>
      <c r="H36" s="3"/>
      <c r="I36" s="3"/>
      <c r="J36" s="3"/>
      <c r="K36" s="3"/>
      <c r="L36" s="3"/>
      <c r="M36" s="3"/>
      <c r="N36" s="3"/>
      <c r="O36" s="3"/>
      <c r="P36" s="3"/>
      <c r="Q36" s="3"/>
      <c r="R36" s="3"/>
      <c r="S36" s="3"/>
      <c r="T36" s="3"/>
      <c r="U36" s="3"/>
      <c r="V36" s="3"/>
      <c r="W36" s="3"/>
      <c r="X36" s="3"/>
      <c r="Y36" s="3"/>
      <c r="Z36" s="3"/>
    </row>
    <row r="37" ht="33.75" customHeight="1">
      <c r="A37" s="24" t="s">
        <v>116</v>
      </c>
      <c r="B37" s="25" t="s">
        <v>156</v>
      </c>
      <c r="C37" s="25" t="s">
        <v>157</v>
      </c>
      <c r="D37" s="25" t="s">
        <v>158</v>
      </c>
      <c r="E37" s="18"/>
      <c r="F37" s="3"/>
      <c r="G37" s="3"/>
      <c r="H37" s="3"/>
      <c r="I37" s="3"/>
      <c r="J37" s="3"/>
      <c r="K37" s="3"/>
      <c r="L37" s="3"/>
      <c r="M37" s="3"/>
      <c r="N37" s="3"/>
      <c r="O37" s="3"/>
      <c r="P37" s="3"/>
      <c r="Q37" s="3"/>
      <c r="R37" s="3"/>
      <c r="S37" s="3"/>
      <c r="T37" s="3"/>
      <c r="U37" s="3"/>
      <c r="V37" s="3"/>
      <c r="W37" s="3"/>
      <c r="X37" s="3"/>
      <c r="Y37" s="3"/>
      <c r="Z37" s="3"/>
    </row>
    <row r="38" ht="33.75" customHeight="1">
      <c r="A38" s="20" t="s">
        <v>119</v>
      </c>
      <c r="B38" s="26" t="s">
        <v>160</v>
      </c>
      <c r="C38" s="26" t="s">
        <v>161</v>
      </c>
      <c r="D38" s="26" t="s">
        <v>162</v>
      </c>
      <c r="E38" s="18"/>
      <c r="F38" s="3"/>
      <c r="G38" s="3"/>
      <c r="H38" s="3"/>
      <c r="I38" s="3"/>
      <c r="J38" s="3"/>
      <c r="K38" s="3"/>
      <c r="L38" s="3"/>
      <c r="M38" s="3"/>
      <c r="N38" s="3"/>
      <c r="O38" s="3"/>
      <c r="P38" s="3"/>
      <c r="Q38" s="3"/>
      <c r="R38" s="3"/>
      <c r="S38" s="3"/>
      <c r="T38" s="3"/>
      <c r="U38" s="3"/>
      <c r="V38" s="3"/>
      <c r="W38" s="3"/>
      <c r="X38" s="3"/>
      <c r="Y38" s="3"/>
      <c r="Z38" s="3"/>
    </row>
    <row r="39" ht="14.25" customHeight="1">
      <c r="A39" s="28" t="s">
        <v>163</v>
      </c>
      <c r="B39" s="30"/>
      <c r="C39" s="30"/>
      <c r="D39" s="30"/>
      <c r="E39" s="1"/>
      <c r="F39" s="3"/>
      <c r="G39" s="3"/>
      <c r="H39" s="3"/>
      <c r="I39" s="3"/>
      <c r="J39" s="3"/>
      <c r="K39" s="3"/>
      <c r="L39" s="3"/>
      <c r="M39" s="3"/>
      <c r="N39" s="3"/>
      <c r="O39" s="3"/>
      <c r="P39" s="3"/>
      <c r="Q39" s="3"/>
      <c r="R39" s="3"/>
      <c r="S39" s="3"/>
      <c r="T39" s="3"/>
      <c r="U39" s="3"/>
      <c r="V39" s="3"/>
      <c r="W39" s="3"/>
      <c r="X39" s="3"/>
      <c r="Y39" s="3"/>
      <c r="Z39" s="3"/>
    </row>
    <row r="40" ht="13.5" customHeight="1">
      <c r="A40" s="22" t="s">
        <v>12</v>
      </c>
      <c r="B40" s="22" t="s">
        <v>26</v>
      </c>
      <c r="C40" s="22" t="s">
        <v>27</v>
      </c>
      <c r="D40" s="22" t="s">
        <v>28</v>
      </c>
      <c r="E40" s="18"/>
      <c r="F40" s="3"/>
      <c r="G40" s="3"/>
      <c r="H40" s="3"/>
      <c r="I40" s="3"/>
      <c r="J40" s="3"/>
      <c r="K40" s="3"/>
      <c r="L40" s="3"/>
      <c r="M40" s="3"/>
      <c r="N40" s="3"/>
      <c r="O40" s="3"/>
      <c r="P40" s="3"/>
      <c r="Q40" s="3"/>
      <c r="R40" s="3"/>
      <c r="S40" s="3"/>
      <c r="T40" s="3"/>
      <c r="U40" s="3"/>
      <c r="V40" s="3"/>
      <c r="W40" s="3"/>
      <c r="X40" s="3"/>
      <c r="Y40" s="3"/>
      <c r="Z40" s="3"/>
    </row>
    <row r="41" ht="22.5" customHeight="1">
      <c r="A41" s="24" t="s">
        <v>141</v>
      </c>
      <c r="B41" s="25" t="s">
        <v>169</v>
      </c>
      <c r="C41" s="25" t="s">
        <v>170</v>
      </c>
      <c r="D41" s="25" t="s">
        <v>171</v>
      </c>
      <c r="E41" s="18"/>
      <c r="F41" s="3"/>
      <c r="G41" s="3"/>
      <c r="H41" s="3"/>
      <c r="I41" s="3"/>
      <c r="J41" s="3"/>
      <c r="K41" s="3"/>
      <c r="L41" s="3"/>
      <c r="M41" s="3"/>
      <c r="N41" s="3"/>
      <c r="O41" s="3"/>
      <c r="P41" s="3"/>
      <c r="Q41" s="3"/>
      <c r="R41" s="3"/>
      <c r="S41" s="3"/>
      <c r="T41" s="3"/>
      <c r="U41" s="3"/>
      <c r="V41" s="3"/>
      <c r="W41" s="3"/>
      <c r="X41" s="3"/>
      <c r="Y41" s="3"/>
      <c r="Z41" s="3"/>
    </row>
    <row r="42" ht="33.75" customHeight="1">
      <c r="A42" s="20" t="s">
        <v>144</v>
      </c>
      <c r="B42" s="26" t="s">
        <v>175</v>
      </c>
      <c r="C42" s="26" t="s">
        <v>176</v>
      </c>
      <c r="D42" s="26" t="s">
        <v>178</v>
      </c>
      <c r="E42" s="18"/>
      <c r="F42" s="3"/>
      <c r="G42" s="3"/>
      <c r="H42" s="3"/>
      <c r="I42" s="3"/>
      <c r="J42" s="3"/>
      <c r="K42" s="3"/>
      <c r="L42" s="3"/>
      <c r="M42" s="3"/>
      <c r="N42" s="3"/>
      <c r="O42" s="3"/>
      <c r="P42" s="3"/>
      <c r="Q42" s="3"/>
      <c r="R42" s="3"/>
      <c r="S42" s="3"/>
      <c r="T42" s="3"/>
      <c r="U42" s="3"/>
      <c r="V42" s="3"/>
      <c r="W42" s="3"/>
      <c r="X42" s="3"/>
      <c r="Y42" s="3"/>
      <c r="Z42" s="3"/>
    </row>
    <row r="43" ht="22.5" customHeight="1">
      <c r="A43" s="24" t="s">
        <v>147</v>
      </c>
      <c r="B43" s="25" t="s">
        <v>180</v>
      </c>
      <c r="C43" s="25" t="s">
        <v>181</v>
      </c>
      <c r="D43" s="25" t="s">
        <v>182</v>
      </c>
      <c r="E43" s="18"/>
      <c r="F43" s="3"/>
      <c r="G43" s="3"/>
      <c r="H43" s="3"/>
      <c r="I43" s="3"/>
      <c r="J43" s="3"/>
      <c r="K43" s="3"/>
      <c r="L43" s="3"/>
      <c r="M43" s="3"/>
      <c r="N43" s="3"/>
      <c r="O43" s="3"/>
      <c r="P43" s="3"/>
      <c r="Q43" s="3"/>
      <c r="R43" s="3"/>
      <c r="S43" s="3"/>
      <c r="T43" s="3"/>
      <c r="U43" s="3"/>
      <c r="V43" s="3"/>
      <c r="W43" s="3"/>
      <c r="X43" s="3"/>
      <c r="Y43" s="3"/>
      <c r="Z43" s="3"/>
    </row>
    <row r="44" ht="14.25" customHeight="1">
      <c r="A44" s="28" t="s">
        <v>183</v>
      </c>
      <c r="B44" s="30"/>
      <c r="C44" s="30"/>
      <c r="D44" s="30"/>
      <c r="E44" s="1"/>
      <c r="F44" s="3"/>
      <c r="G44" s="3"/>
      <c r="H44" s="3"/>
      <c r="I44" s="3"/>
      <c r="J44" s="3"/>
      <c r="K44" s="3"/>
      <c r="L44" s="3"/>
      <c r="M44" s="3"/>
      <c r="N44" s="3"/>
      <c r="O44" s="3"/>
      <c r="P44" s="3"/>
      <c r="Q44" s="3"/>
      <c r="R44" s="3"/>
      <c r="S44" s="3"/>
      <c r="T44" s="3"/>
      <c r="U44" s="3"/>
      <c r="V44" s="3"/>
      <c r="W44" s="3"/>
      <c r="X44" s="3"/>
      <c r="Y44" s="3"/>
      <c r="Z44" s="3"/>
    </row>
    <row r="45" ht="13.5" customHeight="1">
      <c r="A45" s="22" t="s">
        <v>12</v>
      </c>
      <c r="B45" s="22" t="s">
        <v>26</v>
      </c>
      <c r="C45" s="22" t="s">
        <v>27</v>
      </c>
      <c r="D45" s="22" t="s">
        <v>28</v>
      </c>
      <c r="E45" s="18"/>
      <c r="F45" s="3"/>
      <c r="G45" s="3"/>
      <c r="H45" s="3"/>
      <c r="I45" s="3"/>
      <c r="J45" s="3"/>
      <c r="K45" s="3"/>
      <c r="L45" s="3"/>
      <c r="M45" s="3"/>
      <c r="N45" s="3"/>
      <c r="O45" s="3"/>
      <c r="P45" s="3"/>
      <c r="Q45" s="3"/>
      <c r="R45" s="3"/>
      <c r="S45" s="3"/>
      <c r="T45" s="3"/>
      <c r="U45" s="3"/>
      <c r="V45" s="3"/>
      <c r="W45" s="3"/>
      <c r="X45" s="3"/>
      <c r="Y45" s="3"/>
      <c r="Z45" s="3"/>
    </row>
    <row r="46" ht="22.5" customHeight="1">
      <c r="A46" s="24" t="s">
        <v>76</v>
      </c>
      <c r="B46" s="25" t="s">
        <v>194</v>
      </c>
      <c r="C46" s="25" t="s">
        <v>196</v>
      </c>
      <c r="D46" s="25" t="s">
        <v>197</v>
      </c>
      <c r="E46" s="18"/>
      <c r="F46" s="3"/>
      <c r="G46" s="3"/>
      <c r="H46" s="3"/>
      <c r="I46" s="3"/>
      <c r="J46" s="3"/>
      <c r="K46" s="3"/>
      <c r="L46" s="3"/>
      <c r="M46" s="3"/>
      <c r="N46" s="3"/>
      <c r="O46" s="3"/>
      <c r="P46" s="3"/>
      <c r="Q46" s="3"/>
      <c r="R46" s="3"/>
      <c r="S46" s="3"/>
      <c r="T46" s="3"/>
      <c r="U46" s="3"/>
      <c r="V46" s="3"/>
      <c r="W46" s="3"/>
      <c r="X46" s="3"/>
      <c r="Y46" s="3"/>
      <c r="Z46" s="3"/>
    </row>
    <row r="47" ht="33.75" customHeight="1">
      <c r="A47" s="20" t="s">
        <v>166</v>
      </c>
      <c r="B47" s="26" t="s">
        <v>200</v>
      </c>
      <c r="C47" s="26" t="s">
        <v>201</v>
      </c>
      <c r="D47" s="26" t="s">
        <v>202</v>
      </c>
      <c r="E47" s="18"/>
      <c r="F47" s="3"/>
      <c r="G47" s="3"/>
      <c r="H47" s="3"/>
      <c r="I47" s="3"/>
      <c r="J47" s="3"/>
      <c r="K47" s="3"/>
      <c r="L47" s="3"/>
      <c r="M47" s="3"/>
      <c r="N47" s="3"/>
      <c r="O47" s="3"/>
      <c r="P47" s="3"/>
      <c r="Q47" s="3"/>
      <c r="R47" s="3"/>
      <c r="S47" s="3"/>
      <c r="T47" s="3"/>
      <c r="U47" s="3"/>
      <c r="V47" s="3"/>
      <c r="W47" s="3"/>
      <c r="X47" s="3"/>
      <c r="Y47" s="3"/>
      <c r="Z47" s="3"/>
    </row>
    <row r="48" ht="22.5" customHeight="1">
      <c r="A48" s="24" t="s">
        <v>172</v>
      </c>
      <c r="B48" s="25" t="s">
        <v>204</v>
      </c>
      <c r="C48" s="25" t="s">
        <v>205</v>
      </c>
      <c r="D48" s="25" t="s">
        <v>206</v>
      </c>
      <c r="E48" s="18"/>
      <c r="F48" s="3"/>
      <c r="G48" s="3"/>
      <c r="H48" s="3"/>
      <c r="I48" s="3"/>
      <c r="J48" s="3"/>
      <c r="K48" s="3"/>
      <c r="L48" s="3"/>
      <c r="M48" s="3"/>
      <c r="N48" s="3"/>
      <c r="O48" s="3"/>
      <c r="P48" s="3"/>
      <c r="Q48" s="3"/>
      <c r="R48" s="3"/>
      <c r="S48" s="3"/>
      <c r="T48" s="3"/>
      <c r="U48" s="3"/>
      <c r="V48" s="3"/>
      <c r="W48" s="3"/>
      <c r="X48" s="3"/>
      <c r="Y48" s="3"/>
      <c r="Z48" s="3"/>
    </row>
    <row r="49" ht="33.75" customHeight="1">
      <c r="A49" s="20" t="s">
        <v>174</v>
      </c>
      <c r="B49" s="26" t="s">
        <v>208</v>
      </c>
      <c r="C49" s="26" t="s">
        <v>209</v>
      </c>
      <c r="D49" s="26" t="s">
        <v>210</v>
      </c>
      <c r="E49" s="18"/>
      <c r="F49" s="3"/>
      <c r="G49" s="3"/>
      <c r="H49" s="3"/>
      <c r="I49" s="3"/>
      <c r="J49" s="3"/>
      <c r="K49" s="3"/>
      <c r="L49" s="3"/>
      <c r="M49" s="3"/>
      <c r="N49" s="3"/>
      <c r="O49" s="3"/>
      <c r="P49" s="3"/>
      <c r="Q49" s="3"/>
      <c r="R49" s="3"/>
      <c r="S49" s="3"/>
      <c r="T49" s="3"/>
      <c r="U49" s="3"/>
      <c r="V49" s="3"/>
      <c r="W49" s="3"/>
      <c r="X49" s="3"/>
      <c r="Y49" s="3"/>
      <c r="Z49" s="3"/>
    </row>
    <row r="50" ht="13.5" customHeight="1">
      <c r="A50" s="32"/>
      <c r="B50" s="32"/>
      <c r="C50" s="32"/>
      <c r="D50" s="32"/>
      <c r="E50" s="1"/>
      <c r="F50" s="3"/>
      <c r="G50" s="3"/>
      <c r="H50" s="3"/>
      <c r="I50" s="3"/>
      <c r="J50" s="3"/>
      <c r="K50" s="3"/>
      <c r="L50" s="3"/>
      <c r="M50" s="3"/>
      <c r="N50" s="3"/>
      <c r="O50" s="3"/>
      <c r="P50" s="3"/>
      <c r="Q50" s="3"/>
      <c r="R50" s="3"/>
      <c r="S50" s="3"/>
      <c r="T50" s="3"/>
      <c r="U50" s="3"/>
      <c r="V50" s="3"/>
      <c r="W50" s="3"/>
      <c r="X50" s="3"/>
      <c r="Y50" s="3"/>
      <c r="Z50" s="3"/>
    </row>
    <row r="51" ht="75.0" customHeight="1">
      <c r="A51" s="44" t="s">
        <v>216</v>
      </c>
      <c r="B51" s="11"/>
      <c r="C51" s="11"/>
      <c r="D51" s="14"/>
      <c r="E51" s="1"/>
      <c r="F51" s="3"/>
      <c r="G51" s="3"/>
      <c r="H51" s="3"/>
      <c r="I51" s="3"/>
      <c r="J51" s="3"/>
      <c r="K51" s="3"/>
      <c r="L51" s="3"/>
      <c r="M51" s="3"/>
      <c r="N51" s="3"/>
      <c r="O51" s="3"/>
      <c r="P51" s="3"/>
      <c r="Q51" s="3"/>
      <c r="R51" s="3"/>
      <c r="S51" s="3"/>
      <c r="T51" s="3"/>
      <c r="U51" s="3"/>
      <c r="V51" s="3"/>
      <c r="W51" s="3"/>
      <c r="X51" s="3"/>
      <c r="Y51" s="3"/>
      <c r="Z51" s="3"/>
    </row>
    <row r="52" ht="14.2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4.2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4.2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4.2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4.2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4.2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4.2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4.2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4.2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4.2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4.2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4.2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4.2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4.2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4.2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4.2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4.2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4.2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4.2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4.2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4.2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4.2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4.2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4.2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4.2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4.2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4.2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4.2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4.2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4.2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4.2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4.2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4.2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4.2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4.2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4.2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4.2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4.2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4.2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4.2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4.2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4.2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4.2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4.2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4.2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4.2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4.2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4.2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4.2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4.2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4.2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4.2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4.2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4.2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4.2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4.2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4.2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4.2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4.2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4.2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4.2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4.2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4.2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4.2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4.2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4.2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4.2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4.2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4.2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4.2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4.2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4.2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4.2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4.2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4.2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4.2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4.2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4.2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4.2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4.2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4.2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4.2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4.2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4.2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4.2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4.2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4.2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4.2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4.2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4.2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4.2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4.2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4.2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4.2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4.2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4.2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4.2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4.2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4.2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4.2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4.2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4.2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4.2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4.2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4.2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4.2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4.2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4.2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4.2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4.2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4.2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4.2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4.2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4.2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4.2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4.2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4.2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4.2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4.2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4.2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4.2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4.2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4.2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4.2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4.2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4.2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4.2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4.2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4.2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4.2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4.2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4.2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4.2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4.2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4.2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4.2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4.2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4.2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4.2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4.2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4.2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4.2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4.2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4.2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4.2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4.2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4.2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4.2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4.2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4.2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4.2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4.2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4.2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4.2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4.2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4.2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4.2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4.2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4.2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4.2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4.2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4.2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4.2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4.2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4.2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4.2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4.2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4.2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4.2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4.2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4.2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4.2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4.2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4.2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4.2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4.2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4.2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4.2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4.2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4.2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4.2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4.2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4.2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4.2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4.2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4.2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4.2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4.2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4.2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4.2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4.2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4.2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4.2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4.2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4.2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4.2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4.2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4.2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4.2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4.2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4.2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4.2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4.2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4.2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4.2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4.2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4.2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4.2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4.2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4.2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4.2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4.2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4.2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4.2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4.2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4.2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4.2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4.2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4.2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4.2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4.2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4.2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4.2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4.2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4.2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4.2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4.2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4.2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4.2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4.2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4.2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4.2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4.2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4.2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4.2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4.2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4.2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4.2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4.2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4.2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4.2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4.2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4.2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4.2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4.2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4.2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4.2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4.2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4.2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4.2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4.2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4.2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4.2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4.2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4.2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4.2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4.2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4.2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4.2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4.2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4.2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4.2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4.2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4.2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4.2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4.2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4.2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4.2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4.2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4.2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4.2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4.2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4.2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4.2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4.2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4.2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4.2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4.2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4.2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4.2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4.2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4.2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4.2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4.2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4.2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4.2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4.2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4.2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4.2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4.2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4.2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4.2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4.2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4.2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4.2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4.2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4.2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4.2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4.2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4.2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4.2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4.2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4.2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4.2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4.2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4.2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4.2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4.2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4.2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4.2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4.2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4.2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4.2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4.2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4.2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4.2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4.2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4.2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4.2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4.2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4.2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4.2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4.2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4.2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4.2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4.2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4.2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4.2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4.2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4.2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4.2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4.2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4.2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4.2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4.2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4.2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4.2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4.2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4.2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4.2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4.2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4.2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4.2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4.2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4.2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4.2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4.2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4.2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4.2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4.2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4.2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4.2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4.2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4.2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4.2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4.2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4.2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4.2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4.2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4.2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4.2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4.2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4.2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4.2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4.2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4.2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4.2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4.2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4.2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4.2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4.2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4.2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4.2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4.2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4.2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4.2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4.2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4.2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4.2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4.2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4.2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4.2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4.2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4.2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4.2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4.2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4.2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4.2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4.2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4.2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4.2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4.2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4.2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4.2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4.2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4.2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4.2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4.2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4.2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4.2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4.2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4.2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4.2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4.2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4.2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4.2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4.2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4.2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4.2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4.2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4.2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4.2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4.2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4.2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4.2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4.2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4.2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4.2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4.2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4.2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4.2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4.2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4.2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4.2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4.2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4.2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4.2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4.2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4.2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4.2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4.2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4.2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4.2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4.2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4.2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4.2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4.2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4.2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4.2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4.2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4.2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4.2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4.2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4.2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4.2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4.2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4.2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4.2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4.2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4.2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4.2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4.2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4.2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4.2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4.2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4.2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4.2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4.2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4.2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4.2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4.2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4.2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4.2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4.2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4.2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4.2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4.2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4.2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4.2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4.2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4.2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4.2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4.2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4.2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4.2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4.2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4.2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4.2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4.2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4.2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4.2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4.2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4.2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4.2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4.2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4.2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4.2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4.2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4.2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4.2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4.2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4.2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4.2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4.2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4.2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4.2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4.2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4.2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4.2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4.2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4.2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4.2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4.2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4.2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4.2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4.2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4.2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4.2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4.2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4.2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4.2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4.2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4.2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4.2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4.2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4.2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4.2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4.2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4.2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4.2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4.2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4.2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4.2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4.2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4.2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4.2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4.2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4.2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4.2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4.2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4.2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4.2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4.2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4.2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4.2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4.2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4.2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4.2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4.2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4.2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4.2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4.2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4.2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4.2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4.2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4.2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4.2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4.2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4.2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4.2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4.2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4.2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4.2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4.2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4.2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4.2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4.2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4.2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4.2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4.2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4.2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4.2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4.2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4.2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4.2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4.2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4.2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4.2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4.2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4.2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4.2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4.2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4.2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4.2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4.2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4.2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4.2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4.2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4.2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4.2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4.2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4.2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4.2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4.2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4.2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4.2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4.2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4.2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4.2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4.2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4.2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4.2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4.2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4.2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4.2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4.2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4.2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4.2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4.2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4.2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4.2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4.2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4.2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4.2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4.2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4.2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4.2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4.2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4.2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4.2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4.2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4.2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4.2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4.2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4.2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4.2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4.2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4.2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4.2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4.2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4.2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4.2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4.2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4.2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4.2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4.2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4.2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4.2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4.2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4.2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4.2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4.2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4.2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4.2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4.2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4.2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4.2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4.2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4.2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4.2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4.2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4.2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4.2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4.2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4.2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4.2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4.2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4.2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4.2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4.2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4.2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4.2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4.2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4.2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4.2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4.2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4.2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4.2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4.2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4.2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4.2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4.2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4.2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4.2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4.2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4.2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4.2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4.2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4.2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4.2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4.2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4.2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4.2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4.2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4.2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4.2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4.2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4.2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4.2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4.2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4.2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4.2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4.2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4.2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4.2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4.2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4.2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4.2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4.2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4.2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4.2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4.2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4.2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4.2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4.2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4.2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4.2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4.2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4.2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4.2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4.2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4.2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4.2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4.2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4.2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4.2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4.2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4.2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4.2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4.2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4.2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4.2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4.2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4.2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4.2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4.2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4.2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4.2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4.2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4.2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4.2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4.2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4.2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4.2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4.2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4.2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4.2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4.2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4.2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4.2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4.2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4.2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4.2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4.2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4.2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4.2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4.2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4.2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4.2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4.2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4.2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4.2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4.2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4.2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4.2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4.2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4.2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4.2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4.2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4.2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4.2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4.2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4.2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4.2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4.2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4.2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4.2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4.2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4.2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4.2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4.2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4.2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4.2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4.2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4.2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4.2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4.2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4.2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4.2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4.2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4.2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4.2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4.2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4.2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4.2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4.2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4.2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4.2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4.2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4.2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4.2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4.2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4.2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4.2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4.2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4.2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4.2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4.2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4.2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4.2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4.2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4.2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4.2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4.2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4.2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4.2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4.2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4.2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4.2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4.2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4.2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4.2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4.2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4.2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4.2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4.2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4.2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4.2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4.2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4.2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4.2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4.2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4.2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4.2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4.2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4.2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4.2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4.2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4.2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4.2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4.2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4.2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4.2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4.2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4.2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4.2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4.2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4.2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4.2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4.2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4.2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4.2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4.2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4.2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4.2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4.2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4.2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4.2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4.2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4.2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4.2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4.2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4.2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4.2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4.2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4.2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4.2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4.2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4.2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4.2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4.2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4.2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4.2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4.2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4.2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4.2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4.2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4.2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4.2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4.2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4.2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4.2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4.2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4.2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4.2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4.2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4.2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4.2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4.2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4.2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4.2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4.2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4.2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4.2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4.2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4.2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4.2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4.2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4.2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4.2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4.2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4.2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4.2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4.2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4.2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4.2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4.2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4.2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4.2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4.2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4.2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4.2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4.2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4.2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4.2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4.2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4.2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4.2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4.2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4.2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4.2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4.2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4.2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4.2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4.2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4.2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4.2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4.2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4.2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4.2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4.2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4.2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4.2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4.2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4.2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4.2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4.2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4.2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4.2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4.2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4.2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4.2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4.2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4.2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4.2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4.2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4.2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4.2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4.2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4.2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4.2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4.2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4.2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4.2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4.2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4.2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4.2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4.2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4.2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4.2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4.2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4.2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4.2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4.2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4.2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4.2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4.2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4.2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4.2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
    <mergeCell ref="A3:D3"/>
    <mergeCell ref="A51:D51"/>
  </mergeCells>
  <printOptions/>
  <pageMargins bottom="1.0" footer="0.0" header="0.0" left="0.75" right="0.75" top="1.0"/>
  <pageSetup orientation="portrait"/>
  <headerFooter>
    <oddFooter>&amp;C000000&amp;P</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0"/>
    <col customWidth="1" min="2" max="2" width="14.0"/>
    <col customWidth="1" min="3" max="3" width="12.0"/>
    <col customWidth="1" min="4" max="4" width="8.0"/>
    <col customWidth="1" min="5" max="6" width="11.0"/>
    <col customWidth="1" min="7" max="7" width="14.0"/>
    <col customWidth="1" min="8" max="8" width="11.0"/>
    <col customWidth="1" min="9" max="26" width="8.71"/>
  </cols>
  <sheetData>
    <row r="1" ht="17.25" customHeight="1">
      <c r="A1" s="6" t="s">
        <v>107</v>
      </c>
      <c r="B1" s="1"/>
      <c r="C1" s="1"/>
      <c r="D1" s="1"/>
      <c r="E1" s="1"/>
      <c r="F1" s="1"/>
      <c r="G1" s="1"/>
      <c r="H1" s="1"/>
      <c r="I1" s="3"/>
      <c r="J1" s="3"/>
      <c r="K1" s="3"/>
      <c r="L1" s="3"/>
      <c r="M1" s="3"/>
      <c r="N1" s="3"/>
      <c r="O1" s="3"/>
      <c r="P1" s="3"/>
      <c r="Q1" s="3"/>
      <c r="R1" s="3"/>
      <c r="S1" s="3"/>
      <c r="T1" s="3"/>
      <c r="U1" s="3"/>
      <c r="V1" s="3"/>
      <c r="W1" s="3"/>
      <c r="X1" s="3"/>
      <c r="Y1" s="3"/>
      <c r="Z1" s="3"/>
    </row>
    <row r="2" ht="15.0" customHeight="1">
      <c r="A2" s="33" t="s">
        <v>117</v>
      </c>
      <c r="B2" s="1"/>
      <c r="C2" s="1"/>
      <c r="D2" s="1"/>
      <c r="E2" s="1"/>
      <c r="F2" s="1"/>
      <c r="G2" s="1"/>
      <c r="H2" s="1"/>
      <c r="I2" s="3"/>
      <c r="J2" s="3"/>
      <c r="K2" s="3"/>
      <c r="L2" s="3"/>
      <c r="M2" s="3"/>
      <c r="N2" s="3"/>
      <c r="O2" s="3"/>
      <c r="P2" s="3"/>
      <c r="Q2" s="3"/>
      <c r="R2" s="3"/>
      <c r="S2" s="3"/>
      <c r="T2" s="3"/>
      <c r="U2" s="3"/>
      <c r="V2" s="3"/>
      <c r="W2" s="3"/>
      <c r="X2" s="3"/>
      <c r="Y2" s="3"/>
      <c r="Z2" s="3"/>
    </row>
    <row r="3" ht="13.5" customHeight="1">
      <c r="A3" s="12"/>
      <c r="B3" s="12"/>
      <c r="C3" s="12"/>
      <c r="D3" s="12"/>
      <c r="E3" s="12"/>
      <c r="F3" s="1"/>
      <c r="G3" s="1"/>
      <c r="H3" s="1"/>
      <c r="I3" s="3"/>
      <c r="J3" s="3"/>
      <c r="K3" s="3"/>
      <c r="L3" s="3"/>
      <c r="M3" s="3"/>
      <c r="N3" s="3"/>
      <c r="O3" s="3"/>
      <c r="P3" s="3"/>
      <c r="Q3" s="3"/>
      <c r="R3" s="3"/>
      <c r="S3" s="3"/>
      <c r="T3" s="3"/>
      <c r="U3" s="3"/>
      <c r="V3" s="3"/>
      <c r="W3" s="3"/>
      <c r="X3" s="3"/>
      <c r="Y3" s="3"/>
      <c r="Z3" s="3"/>
    </row>
    <row r="4" ht="23.25" customHeight="1">
      <c r="A4" s="16" t="s">
        <v>12</v>
      </c>
      <c r="B4" s="16" t="s">
        <v>125</v>
      </c>
      <c r="C4" s="16" t="s">
        <v>126</v>
      </c>
      <c r="D4" s="16" t="s">
        <v>32</v>
      </c>
      <c r="E4" s="16" t="s">
        <v>127</v>
      </c>
      <c r="F4" s="18"/>
      <c r="G4" s="1"/>
      <c r="H4" s="1"/>
      <c r="I4" s="3"/>
      <c r="J4" s="3"/>
      <c r="K4" s="3"/>
      <c r="L4" s="3"/>
      <c r="M4" s="3"/>
      <c r="N4" s="3"/>
      <c r="O4" s="3"/>
      <c r="P4" s="3"/>
      <c r="Q4" s="3"/>
      <c r="R4" s="3"/>
      <c r="S4" s="3"/>
      <c r="T4" s="3"/>
      <c r="U4" s="3"/>
      <c r="V4" s="3"/>
      <c r="W4" s="3"/>
      <c r="X4" s="3"/>
      <c r="Y4" s="3"/>
      <c r="Z4" s="3"/>
    </row>
    <row r="5" ht="23.25" customHeight="1">
      <c r="A5" s="20" t="s">
        <v>20</v>
      </c>
      <c r="B5" s="34">
        <v>45.0</v>
      </c>
      <c r="C5" s="34">
        <v>65.0</v>
      </c>
      <c r="D5" s="34">
        <v>35.0</v>
      </c>
      <c r="E5" s="35"/>
      <c r="F5" s="18"/>
      <c r="G5" s="1"/>
      <c r="H5" s="1"/>
      <c r="I5" s="3"/>
      <c r="J5" s="3"/>
      <c r="K5" s="3"/>
      <c r="L5" s="3"/>
      <c r="M5" s="3"/>
      <c r="N5" s="3"/>
      <c r="O5" s="3"/>
      <c r="P5" s="3"/>
      <c r="Q5" s="3"/>
      <c r="R5" s="3"/>
      <c r="S5" s="3"/>
      <c r="T5" s="3"/>
      <c r="U5" s="3"/>
      <c r="V5" s="3"/>
      <c r="W5" s="3"/>
      <c r="X5" s="3"/>
      <c r="Y5" s="3"/>
      <c r="Z5" s="3"/>
    </row>
    <row r="6" ht="15.0" customHeight="1">
      <c r="A6" s="20" t="s">
        <v>31</v>
      </c>
      <c r="B6" s="34">
        <v>55.0</v>
      </c>
      <c r="C6" s="34">
        <v>60.0</v>
      </c>
      <c r="D6" s="34">
        <v>60.0</v>
      </c>
      <c r="E6" s="35"/>
      <c r="F6" s="18"/>
      <c r="G6" s="1"/>
      <c r="H6" s="1"/>
      <c r="I6" s="3"/>
      <c r="J6" s="3"/>
      <c r="K6" s="3"/>
      <c r="L6" s="3"/>
      <c r="M6" s="3"/>
      <c r="N6" s="3"/>
      <c r="O6" s="3"/>
      <c r="P6" s="3"/>
      <c r="Q6" s="3"/>
      <c r="R6" s="3"/>
      <c r="S6" s="3"/>
      <c r="T6" s="3"/>
      <c r="U6" s="3"/>
      <c r="V6" s="3"/>
      <c r="W6" s="3"/>
      <c r="X6" s="3"/>
      <c r="Y6" s="3"/>
      <c r="Z6" s="3"/>
    </row>
    <row r="7" ht="15.0" customHeight="1">
      <c r="A7" s="20" t="s">
        <v>36</v>
      </c>
      <c r="B7" s="34">
        <v>55.0</v>
      </c>
      <c r="C7" s="34">
        <v>55.0</v>
      </c>
      <c r="D7" s="34">
        <v>65.0</v>
      </c>
      <c r="E7" s="35"/>
      <c r="F7" s="18"/>
      <c r="G7" s="1"/>
      <c r="H7" s="1"/>
      <c r="I7" s="3"/>
      <c r="J7" s="3"/>
      <c r="K7" s="3"/>
      <c r="L7" s="3"/>
      <c r="M7" s="3"/>
      <c r="N7" s="3"/>
      <c r="O7" s="3"/>
      <c r="P7" s="3"/>
      <c r="Q7" s="3"/>
      <c r="R7" s="3"/>
      <c r="S7" s="3"/>
      <c r="T7" s="3"/>
      <c r="U7" s="3"/>
      <c r="V7" s="3"/>
      <c r="W7" s="3"/>
      <c r="X7" s="3"/>
      <c r="Y7" s="3"/>
      <c r="Z7" s="3"/>
    </row>
    <row r="8" ht="23.25" customHeight="1">
      <c r="A8" s="20" t="s">
        <v>43</v>
      </c>
      <c r="B8" s="34">
        <v>40.0</v>
      </c>
      <c r="C8" s="34">
        <v>55.0</v>
      </c>
      <c r="D8" s="34">
        <v>30.0</v>
      </c>
      <c r="E8" s="35"/>
      <c r="F8" s="18"/>
      <c r="G8" s="1"/>
      <c r="H8" s="1"/>
      <c r="I8" s="3"/>
      <c r="J8" s="3"/>
      <c r="K8" s="3"/>
      <c r="L8" s="3"/>
      <c r="M8" s="3"/>
      <c r="N8" s="3"/>
      <c r="O8" s="3"/>
      <c r="P8" s="3"/>
      <c r="Q8" s="3"/>
      <c r="R8" s="3"/>
      <c r="S8" s="3"/>
      <c r="T8" s="3"/>
      <c r="U8" s="3"/>
      <c r="V8" s="3"/>
      <c r="W8" s="3"/>
      <c r="X8" s="3"/>
      <c r="Y8" s="3"/>
      <c r="Z8" s="3"/>
    </row>
    <row r="9" ht="23.25" customHeight="1">
      <c r="A9" s="20" t="s">
        <v>47</v>
      </c>
      <c r="B9" s="34">
        <v>60.0</v>
      </c>
      <c r="C9" s="34">
        <v>45.0</v>
      </c>
      <c r="D9" s="34">
        <v>75.0</v>
      </c>
      <c r="E9" s="35"/>
      <c r="F9" s="18"/>
      <c r="G9" s="1"/>
      <c r="H9" s="1"/>
      <c r="I9" s="3"/>
      <c r="J9" s="3"/>
      <c r="K9" s="3"/>
      <c r="L9" s="3"/>
      <c r="M9" s="3"/>
      <c r="N9" s="3"/>
      <c r="O9" s="3"/>
      <c r="P9" s="3"/>
      <c r="Q9" s="3"/>
      <c r="R9" s="3"/>
      <c r="S9" s="3"/>
      <c r="T9" s="3"/>
      <c r="U9" s="3"/>
      <c r="V9" s="3"/>
      <c r="W9" s="3"/>
      <c r="X9" s="3"/>
      <c r="Y9" s="3"/>
      <c r="Z9" s="3"/>
    </row>
    <row r="10" ht="15.0" customHeight="1">
      <c r="A10" s="27" t="s">
        <v>146</v>
      </c>
      <c r="B10" s="36">
        <f>SUMPRODUCT('Weights &amp; Rules'!$B$5:$B$9,B5:B9)</f>
        <v>50.5</v>
      </c>
      <c r="C10" s="36">
        <f>SUMPRODUCT('Weights &amp; Rules'!$B$5:$B$9,C5:C9)</f>
        <v>57.5</v>
      </c>
      <c r="D10" s="36">
        <f>SUMPRODUCT('Weights &amp; Rules'!$B$5:$B$9,D5:D9)</f>
        <v>51.25</v>
      </c>
      <c r="E10" s="35"/>
      <c r="F10" s="18"/>
      <c r="G10" s="1"/>
      <c r="H10" s="1"/>
      <c r="I10" s="3"/>
      <c r="J10" s="3"/>
      <c r="K10" s="3"/>
      <c r="L10" s="3"/>
      <c r="M10" s="3"/>
      <c r="N10" s="3"/>
      <c r="O10" s="3"/>
      <c r="P10" s="3"/>
      <c r="Q10" s="3"/>
      <c r="R10" s="3"/>
      <c r="S10" s="3"/>
      <c r="T10" s="3"/>
      <c r="U10" s="3"/>
      <c r="V10" s="3"/>
      <c r="W10" s="3"/>
      <c r="X10" s="3"/>
      <c r="Y10" s="3"/>
      <c r="Z10" s="3"/>
    </row>
    <row r="11" ht="15.0" customHeight="1">
      <c r="A11" s="27" t="s">
        <v>165</v>
      </c>
      <c r="B11" s="37" t="s">
        <v>167</v>
      </c>
      <c r="C11" s="37" t="s">
        <v>167</v>
      </c>
      <c r="D11" s="37" t="s">
        <v>167</v>
      </c>
      <c r="E11" s="35"/>
      <c r="F11" s="18"/>
      <c r="G11" s="1"/>
      <c r="H11" s="1"/>
      <c r="I11" s="3"/>
      <c r="J11" s="3"/>
      <c r="K11" s="3"/>
      <c r="L11" s="3"/>
      <c r="M11" s="3"/>
      <c r="N11" s="3"/>
      <c r="O11" s="3"/>
      <c r="P11" s="3"/>
      <c r="Q11" s="3"/>
      <c r="R11" s="3"/>
      <c r="S11" s="3"/>
      <c r="T11" s="3"/>
      <c r="U11" s="3"/>
      <c r="V11" s="3"/>
      <c r="W11" s="3"/>
      <c r="X11" s="3"/>
      <c r="Y11" s="3"/>
      <c r="Z11" s="3"/>
    </row>
    <row r="12" ht="13.5" customHeight="1">
      <c r="A12" s="32"/>
      <c r="B12" s="32"/>
      <c r="C12" s="32"/>
      <c r="D12" s="32"/>
      <c r="E12" s="32"/>
      <c r="F12" s="1"/>
      <c r="G12" s="1"/>
      <c r="H12" s="1"/>
      <c r="I12" s="3"/>
      <c r="J12" s="3"/>
      <c r="K12" s="3"/>
      <c r="L12" s="3"/>
      <c r="M12" s="3"/>
      <c r="N12" s="3"/>
      <c r="O12" s="3"/>
      <c r="P12" s="3"/>
      <c r="Q12" s="3"/>
      <c r="R12" s="3"/>
      <c r="S12" s="3"/>
      <c r="T12" s="3"/>
      <c r="U12" s="3"/>
      <c r="V12" s="3"/>
      <c r="W12" s="3"/>
      <c r="X12" s="3"/>
      <c r="Y12" s="3"/>
      <c r="Z12" s="3"/>
    </row>
    <row r="13" ht="15.0" customHeight="1">
      <c r="A13" s="9" t="s">
        <v>179</v>
      </c>
      <c r="B13" s="12"/>
      <c r="C13" s="12"/>
      <c r="D13" s="12"/>
      <c r="E13" s="12"/>
      <c r="F13" s="12"/>
      <c r="G13" s="12"/>
      <c r="H13" s="12"/>
      <c r="I13" s="3"/>
      <c r="J13" s="3"/>
      <c r="K13" s="3"/>
      <c r="L13" s="3"/>
      <c r="M13" s="3"/>
      <c r="N13" s="3"/>
      <c r="O13" s="3"/>
      <c r="P13" s="3"/>
      <c r="Q13" s="3"/>
      <c r="R13" s="3"/>
      <c r="S13" s="3"/>
      <c r="T13" s="3"/>
      <c r="U13" s="3"/>
      <c r="V13" s="3"/>
      <c r="W13" s="3"/>
      <c r="X13" s="3"/>
      <c r="Y13" s="3"/>
      <c r="Z13" s="3"/>
    </row>
    <row r="14" ht="23.25" customHeight="1">
      <c r="A14" s="16" t="s">
        <v>184</v>
      </c>
      <c r="B14" s="16" t="s">
        <v>185</v>
      </c>
      <c r="C14" s="16" t="s">
        <v>186</v>
      </c>
      <c r="D14" s="16" t="s">
        <v>187</v>
      </c>
      <c r="E14" s="16" t="s">
        <v>188</v>
      </c>
      <c r="F14" s="16" t="s">
        <v>189</v>
      </c>
      <c r="G14" s="16" t="s">
        <v>190</v>
      </c>
      <c r="H14" s="16" t="s">
        <v>191</v>
      </c>
      <c r="I14" s="3"/>
      <c r="J14" s="3"/>
      <c r="K14" s="3"/>
      <c r="L14" s="3"/>
      <c r="M14" s="3"/>
      <c r="N14" s="3"/>
      <c r="O14" s="3"/>
      <c r="P14" s="3"/>
      <c r="Q14" s="3"/>
      <c r="R14" s="3"/>
      <c r="S14" s="3"/>
      <c r="T14" s="3"/>
      <c r="U14" s="3"/>
      <c r="V14" s="3"/>
      <c r="W14" s="3"/>
      <c r="X14" s="3"/>
      <c r="Y14" s="3"/>
      <c r="Z14" s="3"/>
    </row>
    <row r="15" ht="15.0" customHeight="1">
      <c r="A15" s="38" t="s">
        <v>125</v>
      </c>
      <c r="B15" s="21">
        <v>0.55</v>
      </c>
      <c r="C15" s="39">
        <f>B10</f>
        <v>50.5</v>
      </c>
      <c r="D15" s="40" t="str">
        <f>B11</f>
        <v>N</v>
      </c>
      <c r="E15" s="42">
        <f>IF(D15="Y",MIN(0,MAX(-'Weights &amp; Rules'!$B$46,MIN('Weights &amp; Rules'!$B$46,(C15-50)/50*'Weights &amp; Rules'!$B$46))),MAX(-'Weights &amp; Rules'!$B$46,MIN('Weights &amp; Rules'!$B$46,(C15-50)/50*'Weights &amp; Rules'!$B$46)))</f>
        <v>0.002</v>
      </c>
      <c r="F15" s="42">
        <f t="shared" ref="F15:F17" si="1">B15*(1+E15)</f>
        <v>0.5511</v>
      </c>
      <c r="G15" s="29">
        <f t="shared" ref="G15:G17" si="2">F15/SUM($F$15:$F$17)</f>
        <v>0.5445114119</v>
      </c>
      <c r="H15" s="45">
        <f t="shared" ref="H15:H17" si="3">G15-B15</f>
        <v>-0.005488588084</v>
      </c>
      <c r="I15" s="3"/>
      <c r="J15" s="3"/>
      <c r="K15" s="3"/>
      <c r="L15" s="3"/>
      <c r="M15" s="3"/>
      <c r="N15" s="3"/>
      <c r="O15" s="3"/>
      <c r="P15" s="3"/>
      <c r="Q15" s="3"/>
      <c r="R15" s="3"/>
      <c r="S15" s="3"/>
      <c r="T15" s="3"/>
      <c r="U15" s="3"/>
      <c r="V15" s="3"/>
      <c r="W15" s="3"/>
      <c r="X15" s="3"/>
      <c r="Y15" s="3"/>
      <c r="Z15" s="3"/>
    </row>
    <row r="16" ht="15.0" customHeight="1">
      <c r="A16" s="38" t="s">
        <v>126</v>
      </c>
      <c r="B16" s="21">
        <v>0.35</v>
      </c>
      <c r="C16" s="39">
        <f>C10</f>
        <v>57.5</v>
      </c>
      <c r="D16" s="40" t="str">
        <f>C11</f>
        <v>N</v>
      </c>
      <c r="E16" s="42">
        <f>IF(D16="Y",MIN(0,MAX(-'Weights &amp; Rules'!$B$46,MIN('Weights &amp; Rules'!$B$46,(C16-50)/50*'Weights &amp; Rules'!$B$46))),MAX(-'Weights &amp; Rules'!$B$46,MIN('Weights &amp; Rules'!$B$46,(C16-50)/50*'Weights &amp; Rules'!$B$46)))</f>
        <v>0.03</v>
      </c>
      <c r="F16" s="42">
        <f t="shared" si="1"/>
        <v>0.3605</v>
      </c>
      <c r="G16" s="29">
        <f t="shared" si="2"/>
        <v>0.3561900998</v>
      </c>
      <c r="H16" s="45">
        <f t="shared" si="3"/>
        <v>0.006190099793</v>
      </c>
      <c r="I16" s="3"/>
      <c r="J16" s="3"/>
      <c r="K16" s="3"/>
      <c r="L16" s="3"/>
      <c r="M16" s="3"/>
      <c r="N16" s="3"/>
      <c r="O16" s="3"/>
      <c r="P16" s="3"/>
      <c r="Q16" s="3"/>
      <c r="R16" s="3"/>
      <c r="S16" s="3"/>
      <c r="T16" s="3"/>
      <c r="U16" s="3"/>
      <c r="V16" s="3"/>
      <c r="W16" s="3"/>
      <c r="X16" s="3"/>
      <c r="Y16" s="3"/>
      <c r="Z16" s="3"/>
    </row>
    <row r="17" ht="15.0" customHeight="1">
      <c r="A17" s="38" t="s">
        <v>32</v>
      </c>
      <c r="B17" s="21">
        <v>0.1</v>
      </c>
      <c r="C17" s="39">
        <f>D10</f>
        <v>51.25</v>
      </c>
      <c r="D17" s="40" t="str">
        <f>D11</f>
        <v>N</v>
      </c>
      <c r="E17" s="42">
        <f>IF(D17="Y",MIN(0,MAX(-'Weights &amp; Rules'!$B$46,MIN('Weights &amp; Rules'!$B$46,(C17-50)/50*'Weights &amp; Rules'!$B$46))),MAX(-'Weights &amp; Rules'!$B$46,MIN('Weights &amp; Rules'!$B$46,(C17-50)/50*'Weights &amp; Rules'!$B$46)))</f>
        <v>0.005</v>
      </c>
      <c r="F17" s="42">
        <f t="shared" si="1"/>
        <v>0.1005</v>
      </c>
      <c r="G17" s="29">
        <f t="shared" si="2"/>
        <v>0.09929848829</v>
      </c>
      <c r="H17" s="45">
        <f t="shared" si="3"/>
        <v>-0.0007015117083</v>
      </c>
      <c r="I17" s="3"/>
      <c r="J17" s="3"/>
      <c r="K17" s="3"/>
      <c r="L17" s="3"/>
      <c r="M17" s="3"/>
      <c r="N17" s="3"/>
      <c r="O17" s="3"/>
      <c r="P17" s="3"/>
      <c r="Q17" s="3"/>
      <c r="R17" s="3"/>
      <c r="S17" s="3"/>
      <c r="T17" s="3"/>
      <c r="U17" s="3"/>
      <c r="V17" s="3"/>
      <c r="W17" s="3"/>
      <c r="X17" s="3"/>
      <c r="Y17" s="3"/>
      <c r="Z17" s="3"/>
    </row>
    <row r="18" ht="15.0" customHeight="1">
      <c r="A18" s="27" t="s">
        <v>240</v>
      </c>
      <c r="B18" s="29">
        <f>SUM(B15:B17)</f>
        <v>1</v>
      </c>
      <c r="C18" s="31"/>
      <c r="D18" s="32"/>
      <c r="E18" s="32"/>
      <c r="F18" s="46"/>
      <c r="G18" s="29">
        <f>SUM(G15:G17)</f>
        <v>1</v>
      </c>
      <c r="H18" s="38" t="str">
        <f>IF(ABS(B18-1)&lt;0.001,"OK","Neutrals must sum to 100%")</f>
        <v>OK</v>
      </c>
      <c r="I18" s="3"/>
      <c r="J18" s="3"/>
      <c r="K18" s="3"/>
      <c r="L18" s="3"/>
      <c r="M18" s="3"/>
      <c r="N18" s="3"/>
      <c r="O18" s="3"/>
      <c r="P18" s="3"/>
      <c r="Q18" s="3"/>
      <c r="R18" s="3"/>
      <c r="S18" s="3"/>
      <c r="T18" s="3"/>
      <c r="U18" s="3"/>
      <c r="V18" s="3"/>
      <c r="W18" s="3"/>
      <c r="X18" s="3"/>
      <c r="Y18" s="3"/>
      <c r="Z18" s="3"/>
    </row>
    <row r="19" ht="14.2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14.2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4.2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4.2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4.2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4.2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4.2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4.2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4.2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4.2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4.2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4.2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4.2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4.2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4.2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4.2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4.2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4.2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4.2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4.2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4.2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4.2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4.2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4.2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4.2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4.2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4.2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4.2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4.2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4.2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4.2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4.2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4.2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4.2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4.2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4.2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4.2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4.2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4.2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4.2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4.2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4.2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4.2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4.2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4.2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4.2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4.2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4.2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4.2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4.2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4.2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4.2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4.2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4.2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4.2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4.2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4.2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4.2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4.2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4.2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4.2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4.2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4.2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4.2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4.2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4.2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4.2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4.2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4.2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4.2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4.2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4.2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4.2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4.2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4.2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4.2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4.2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4.2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4.2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4.2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4.2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4.2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4.2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4.2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4.2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4.2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4.2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4.2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4.2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4.2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4.2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4.2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4.2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4.2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4.2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4.2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4.2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4.2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4.2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4.2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4.2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4.2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4.2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4.2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4.2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4.2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4.2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4.2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4.2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4.2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4.2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4.2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4.2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4.2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4.2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4.2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4.2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4.2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4.2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4.2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4.2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4.2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4.2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4.2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4.2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4.2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4.2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4.2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4.2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4.2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4.2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4.2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4.2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4.2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4.2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4.2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4.2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4.2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4.2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4.2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4.2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4.2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4.2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4.2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4.2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4.2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4.2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4.2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4.2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4.2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4.2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4.2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4.2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4.2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4.2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4.2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4.2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4.2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4.2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4.2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4.2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4.2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4.2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4.2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4.2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4.2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4.2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4.2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4.2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4.2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4.2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4.2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4.2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4.2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4.2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4.2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4.2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4.2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4.2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4.2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4.2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4.2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4.2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4.2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4.2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4.2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4.2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4.2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4.2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4.2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4.2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4.2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4.2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4.2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4.2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4.2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4.2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4.2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4.2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4.2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4.2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4.2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4.2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4.2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4.2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4.2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4.2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4.2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4.2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4.2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4.2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4.2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4.2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4.2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4.2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4.2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4.2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4.2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4.2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4.2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4.2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4.2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4.2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4.2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4.2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4.2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4.2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4.2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4.2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4.2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4.2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4.2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4.2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4.2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4.2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4.2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4.2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4.2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4.2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4.2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4.2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4.2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4.2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4.2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4.2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4.2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4.2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4.2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4.2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4.2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4.2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4.2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4.2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4.2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4.2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4.2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4.2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4.2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4.2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4.2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4.2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4.2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4.2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4.2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4.2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4.2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4.2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4.2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4.2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4.2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4.2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4.2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4.2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4.2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4.2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4.2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4.2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4.2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4.2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4.2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4.2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4.2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4.2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4.2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4.2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4.2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4.2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4.2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4.2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4.2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4.2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4.2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4.2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4.2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4.2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4.2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4.2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4.2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4.2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4.2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4.2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4.2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4.2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4.2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4.2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4.2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4.2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4.2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4.2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4.2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4.2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4.2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4.2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4.2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4.2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4.2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4.2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4.2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4.2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4.2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4.2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4.2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4.2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4.2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4.2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4.2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4.2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4.2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4.2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4.2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4.2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4.2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4.2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4.2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4.2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4.2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4.2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4.2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4.2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4.2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4.2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4.2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4.2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4.2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4.2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4.2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4.2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4.2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4.2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4.2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4.2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4.2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4.2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4.2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4.2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4.2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4.2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4.2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4.2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4.2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4.2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4.2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4.2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4.2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4.2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4.2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4.2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4.2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4.2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4.2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4.2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4.2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4.2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4.2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4.2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4.2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4.2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4.2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4.2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4.2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4.2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4.2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4.2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4.2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4.2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4.2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4.2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4.2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4.2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4.2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4.2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4.2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4.2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4.2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4.2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4.2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4.2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4.2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4.2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4.2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4.2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4.2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4.2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4.2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4.2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4.2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4.2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4.2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4.2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4.2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4.2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4.2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4.2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4.2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4.2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4.2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4.2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4.2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4.2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4.2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4.2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4.2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4.2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4.2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4.2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4.2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4.2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4.2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4.2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4.2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4.2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4.2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4.2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4.2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4.2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4.2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4.2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4.2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4.2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4.2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4.2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4.2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4.2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4.2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4.2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4.2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4.2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4.2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4.2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4.2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4.2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4.2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4.2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4.2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4.2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4.2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4.2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4.2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4.2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4.2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4.2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4.2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4.2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4.2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4.2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4.2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4.2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4.2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4.2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4.2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4.2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4.2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4.2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4.2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4.2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4.2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4.2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4.2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4.2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4.2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4.2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4.2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4.2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4.2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4.2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4.2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4.2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4.2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4.2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4.2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4.2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4.2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4.2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4.2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4.2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4.2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4.2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4.2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4.2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4.2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4.2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4.2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4.2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4.2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4.2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4.2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4.2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4.2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4.2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4.2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4.2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4.2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4.2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4.2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4.2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4.2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4.2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4.2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4.2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4.2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4.2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4.2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4.2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4.2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4.2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4.2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4.2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4.2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4.2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4.2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4.2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4.2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4.2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4.2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4.2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4.2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4.2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4.2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4.2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4.2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4.2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4.2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4.2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4.2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4.2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4.2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4.2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4.2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4.2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4.2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4.2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4.2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4.2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4.2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4.2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4.2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4.2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4.2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4.2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4.2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4.2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4.2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4.2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4.2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4.2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4.2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4.2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4.2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4.2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4.2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4.2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4.2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4.2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4.2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4.2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4.2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4.2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4.2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4.2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4.2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4.2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4.2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4.2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4.2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4.2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4.2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4.2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4.2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4.2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4.2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4.2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4.2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4.2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4.2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4.2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4.2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4.2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4.2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4.2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4.2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4.2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4.2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4.2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4.2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4.2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4.2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4.2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4.2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4.2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4.2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4.2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4.2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4.2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4.2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4.2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4.2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4.2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4.2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4.2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4.2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4.2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4.2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4.2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4.2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4.2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4.2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4.2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4.2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4.2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4.2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4.2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4.2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4.2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4.2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4.2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4.2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4.2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4.2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4.2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4.2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4.2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4.2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4.2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4.2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4.2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4.2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4.2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4.2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4.2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4.2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4.2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4.2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4.2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4.2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4.2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4.2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4.2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4.2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4.2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4.2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4.2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4.2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4.2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4.2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4.2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4.2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4.2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4.2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4.2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4.2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4.2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4.2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4.2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4.2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4.2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4.2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4.2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4.2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4.2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4.2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4.2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4.2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4.2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4.2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4.2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4.2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4.2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4.2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4.2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4.2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4.2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4.2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4.2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4.2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4.2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4.2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4.2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4.2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4.2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4.2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4.2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4.2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4.2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4.2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4.2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4.2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4.2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4.2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4.2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4.2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4.2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4.2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4.2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4.2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4.2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4.2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4.2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4.2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4.2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4.2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4.2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4.2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4.2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4.2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4.2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4.2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4.2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4.2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4.2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4.2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4.2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4.2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4.2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4.2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4.2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4.2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4.2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4.2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4.2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4.2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4.2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4.2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4.2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4.2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4.2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4.2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4.2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4.2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4.2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4.2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4.2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4.2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4.2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4.2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4.2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4.2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4.2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4.2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4.2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4.2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4.2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4.2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4.2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4.2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4.2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4.2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4.2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4.2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4.2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4.2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4.2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4.2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4.2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4.2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4.2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4.2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4.2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4.2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4.2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4.2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4.2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4.2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4.2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4.2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4.2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4.2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4.2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4.2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4.2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4.2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4.2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4.2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4.2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4.2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4.2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4.2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4.2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4.2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4.2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4.2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4.2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4.2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4.2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4.2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4.2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4.2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4.2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4.2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4.2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4.2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4.2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4.2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4.2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4.2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4.2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4.2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4.2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4.2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4.2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4.2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4.2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4.2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4.2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4.2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4.2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4.2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4.2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4.2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4.2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4.2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4.2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4.2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4.2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4.2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4.2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4.2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4.2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4.2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4.2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4.2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4.2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4.2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4.2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4.2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4.2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4.2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4.2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4.2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4.2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4.2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4.2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4.2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4.2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4.2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4.2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4.2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4.2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4.2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4.2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4.2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4.2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4.2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4.2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4.2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4.2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4.2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4.2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4.2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4.2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4.2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4.2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4.2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4.2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4.2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4.2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4.2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4.2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4.2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4.2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4.2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4.2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4.2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4.2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4.2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4.2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4.2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4.2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4.2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4.2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4.2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4.2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4.2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4.2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4.2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4.2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4.2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4.2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4.2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4.2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4.2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4.2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4.2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4.2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4.2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4.2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4.2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4.2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4.2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4.2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4.2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4.2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4.2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4.2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4.2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4.2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4.2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4.2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4.2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4.2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4.2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4.2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4.2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4.2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4.2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4.2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4.2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4.2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4.2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4.2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4.2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4.2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4.2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4.2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4.2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4.2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4.2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4.2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4.2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4.2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4.2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4.2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4.2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4.2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4.2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4.2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4.2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4.2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4.2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4.2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4.2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4.2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4.2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4.2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4.2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4.2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4.2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4.2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4.2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4.2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4.2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4.2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4.2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4.2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4.2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4.2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4.2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4.2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4.2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4.2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4.2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4.2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4.2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4.2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4.2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4.2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4.2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4.2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4.2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4.2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4.2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4.2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4.2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1.0" footer="0.0" header="0.0" left="0.75" right="0.75" top="1.0"/>
  <pageSetup orientation="portrait"/>
  <headerFooter>
    <oddFooter>&amp;C000000&amp;P</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0"/>
    <col customWidth="1" min="2" max="2" width="14.0"/>
    <col customWidth="1" min="3" max="3" width="12.0"/>
    <col customWidth="1" min="4" max="4" width="8.0"/>
    <col customWidth="1" min="5" max="6" width="11.0"/>
    <col customWidth="1" min="7" max="7" width="14.0"/>
    <col customWidth="1" min="8" max="8" width="11.0"/>
    <col customWidth="1" min="9" max="26" width="8.71"/>
  </cols>
  <sheetData>
    <row r="1" ht="17.25" customHeight="1">
      <c r="A1" s="6" t="s">
        <v>241</v>
      </c>
      <c r="B1" s="1"/>
      <c r="C1" s="1"/>
      <c r="D1" s="1"/>
      <c r="E1" s="1"/>
      <c r="F1" s="1"/>
      <c r="G1" s="1"/>
      <c r="H1" s="1"/>
      <c r="I1" s="3"/>
      <c r="J1" s="3"/>
      <c r="K1" s="3"/>
      <c r="L1" s="3"/>
      <c r="M1" s="3"/>
      <c r="N1" s="3"/>
      <c r="O1" s="3"/>
      <c r="P1" s="3"/>
      <c r="Q1" s="3"/>
      <c r="R1" s="3"/>
      <c r="S1" s="3"/>
      <c r="T1" s="3"/>
      <c r="U1" s="3"/>
      <c r="V1" s="3"/>
      <c r="W1" s="3"/>
      <c r="X1" s="3"/>
      <c r="Y1" s="3"/>
      <c r="Z1" s="3"/>
    </row>
    <row r="2" ht="15.0" customHeight="1">
      <c r="A2" s="33" t="s">
        <v>244</v>
      </c>
      <c r="B2" s="1"/>
      <c r="C2" s="1"/>
      <c r="D2" s="1"/>
      <c r="E2" s="1"/>
      <c r="F2" s="1"/>
      <c r="G2" s="1"/>
      <c r="H2" s="1"/>
      <c r="I2" s="3"/>
      <c r="J2" s="3"/>
      <c r="K2" s="3"/>
      <c r="L2" s="3"/>
      <c r="M2" s="3"/>
      <c r="N2" s="3"/>
      <c r="O2" s="3"/>
      <c r="P2" s="3"/>
      <c r="Q2" s="3"/>
      <c r="R2" s="3"/>
      <c r="S2" s="3"/>
      <c r="T2" s="3"/>
      <c r="U2" s="3"/>
      <c r="V2" s="3"/>
      <c r="W2" s="3"/>
      <c r="X2" s="3"/>
      <c r="Y2" s="3"/>
      <c r="Z2" s="3"/>
    </row>
    <row r="3" ht="13.5" customHeight="1">
      <c r="A3" s="12"/>
      <c r="B3" s="12"/>
      <c r="C3" s="12"/>
      <c r="D3" s="12"/>
      <c r="E3" s="12"/>
      <c r="F3" s="12"/>
      <c r="G3" s="1"/>
      <c r="H3" s="1"/>
      <c r="I3" s="3"/>
      <c r="J3" s="3"/>
      <c r="K3" s="3"/>
      <c r="L3" s="3"/>
      <c r="M3" s="3"/>
      <c r="N3" s="3"/>
      <c r="O3" s="3"/>
      <c r="P3" s="3"/>
      <c r="Q3" s="3"/>
      <c r="R3" s="3"/>
      <c r="S3" s="3"/>
      <c r="T3" s="3"/>
      <c r="U3" s="3"/>
      <c r="V3" s="3"/>
      <c r="W3" s="3"/>
      <c r="X3" s="3"/>
      <c r="Y3" s="3"/>
      <c r="Z3" s="3"/>
    </row>
    <row r="4" ht="23.25" customHeight="1">
      <c r="A4" s="16" t="s">
        <v>12</v>
      </c>
      <c r="B4" s="16" t="s">
        <v>248</v>
      </c>
      <c r="C4" s="16" t="s">
        <v>249</v>
      </c>
      <c r="D4" s="16" t="s">
        <v>250</v>
      </c>
      <c r="E4" s="16" t="s">
        <v>251</v>
      </c>
      <c r="F4" s="16" t="s">
        <v>127</v>
      </c>
      <c r="G4" s="18"/>
      <c r="H4" s="1"/>
      <c r="I4" s="3"/>
      <c r="J4" s="3"/>
      <c r="K4" s="3"/>
      <c r="L4" s="3"/>
      <c r="M4" s="3"/>
      <c r="N4" s="3"/>
      <c r="O4" s="3"/>
      <c r="P4" s="3"/>
      <c r="Q4" s="3"/>
      <c r="R4" s="3"/>
      <c r="S4" s="3"/>
      <c r="T4" s="3"/>
      <c r="U4" s="3"/>
      <c r="V4" s="3"/>
      <c r="W4" s="3"/>
      <c r="X4" s="3"/>
      <c r="Y4" s="3"/>
      <c r="Z4" s="3"/>
    </row>
    <row r="5" ht="23.25" customHeight="1">
      <c r="A5" s="20" t="s">
        <v>76</v>
      </c>
      <c r="B5" s="34">
        <v>55.0</v>
      </c>
      <c r="C5" s="34">
        <v>35.0</v>
      </c>
      <c r="D5" s="34">
        <v>25.0</v>
      </c>
      <c r="E5" s="34">
        <v>40.0</v>
      </c>
      <c r="F5" s="35"/>
      <c r="G5" s="18"/>
      <c r="H5" s="1"/>
      <c r="I5" s="3"/>
      <c r="J5" s="3"/>
      <c r="K5" s="3"/>
      <c r="L5" s="3"/>
      <c r="M5" s="3"/>
      <c r="N5" s="3"/>
      <c r="O5" s="3"/>
      <c r="P5" s="3"/>
      <c r="Q5" s="3"/>
      <c r="R5" s="3"/>
      <c r="S5" s="3"/>
      <c r="T5" s="3"/>
      <c r="U5" s="3"/>
      <c r="V5" s="3"/>
      <c r="W5" s="3"/>
      <c r="X5" s="3"/>
      <c r="Y5" s="3"/>
      <c r="Z5" s="3"/>
    </row>
    <row r="6" ht="23.25" customHeight="1">
      <c r="A6" s="20" t="s">
        <v>124</v>
      </c>
      <c r="B6" s="34">
        <v>60.0</v>
      </c>
      <c r="C6" s="34">
        <v>30.0</v>
      </c>
      <c r="D6" s="34">
        <v>20.0</v>
      </c>
      <c r="E6" s="34">
        <v>45.0</v>
      </c>
      <c r="F6" s="35"/>
      <c r="G6" s="18"/>
      <c r="H6" s="1"/>
      <c r="I6" s="3"/>
      <c r="J6" s="3"/>
      <c r="K6" s="3"/>
      <c r="L6" s="3"/>
      <c r="M6" s="3"/>
      <c r="N6" s="3"/>
      <c r="O6" s="3"/>
      <c r="P6" s="3"/>
      <c r="Q6" s="3"/>
      <c r="R6" s="3"/>
      <c r="S6" s="3"/>
      <c r="T6" s="3"/>
      <c r="U6" s="3"/>
      <c r="V6" s="3"/>
      <c r="W6" s="3"/>
      <c r="X6" s="3"/>
      <c r="Y6" s="3"/>
      <c r="Z6" s="3"/>
    </row>
    <row r="7" ht="23.25" customHeight="1">
      <c r="A7" s="20" t="s">
        <v>86</v>
      </c>
      <c r="B7" s="34">
        <v>50.0</v>
      </c>
      <c r="C7" s="34">
        <v>55.0</v>
      </c>
      <c r="D7" s="34">
        <v>45.0</v>
      </c>
      <c r="E7" s="34">
        <v>60.0</v>
      </c>
      <c r="F7" s="35"/>
      <c r="G7" s="18"/>
      <c r="H7" s="1"/>
      <c r="I7" s="3"/>
      <c r="J7" s="3"/>
      <c r="K7" s="3"/>
      <c r="L7" s="3"/>
      <c r="M7" s="3"/>
      <c r="N7" s="3"/>
      <c r="O7" s="3"/>
      <c r="P7" s="3"/>
      <c r="Q7" s="3"/>
      <c r="R7" s="3"/>
      <c r="S7" s="3"/>
      <c r="T7" s="3"/>
      <c r="U7" s="3"/>
      <c r="V7" s="3"/>
      <c r="W7" s="3"/>
      <c r="X7" s="3"/>
      <c r="Y7" s="3"/>
      <c r="Z7" s="3"/>
    </row>
    <row r="8" ht="23.25" customHeight="1">
      <c r="A8" s="20" t="s">
        <v>90</v>
      </c>
      <c r="B8" s="34">
        <v>45.0</v>
      </c>
      <c r="C8" s="34">
        <v>60.0</v>
      </c>
      <c r="D8" s="34">
        <v>55.0</v>
      </c>
      <c r="E8" s="34">
        <v>65.0</v>
      </c>
      <c r="F8" s="35"/>
      <c r="G8" s="18"/>
      <c r="H8" s="1"/>
      <c r="I8" s="3"/>
      <c r="J8" s="3"/>
      <c r="K8" s="3"/>
      <c r="L8" s="3"/>
      <c r="M8" s="3"/>
      <c r="N8" s="3"/>
      <c r="O8" s="3"/>
      <c r="P8" s="3"/>
      <c r="Q8" s="3"/>
      <c r="R8" s="3"/>
      <c r="S8" s="3"/>
      <c r="T8" s="3"/>
      <c r="U8" s="3"/>
      <c r="V8" s="3"/>
      <c r="W8" s="3"/>
      <c r="X8" s="3"/>
      <c r="Y8" s="3"/>
      <c r="Z8" s="3"/>
    </row>
    <row r="9" ht="15.0" customHeight="1">
      <c r="A9" s="20" t="s">
        <v>92</v>
      </c>
      <c r="B9" s="34">
        <v>55.0</v>
      </c>
      <c r="C9" s="34">
        <v>40.0</v>
      </c>
      <c r="D9" s="34">
        <v>30.0</v>
      </c>
      <c r="E9" s="34">
        <v>50.0</v>
      </c>
      <c r="F9" s="35"/>
      <c r="G9" s="18"/>
      <c r="H9" s="1"/>
      <c r="I9" s="3"/>
      <c r="J9" s="3"/>
      <c r="K9" s="3"/>
      <c r="L9" s="3"/>
      <c r="M9" s="3"/>
      <c r="N9" s="3"/>
      <c r="O9" s="3"/>
      <c r="P9" s="3"/>
      <c r="Q9" s="3"/>
      <c r="R9" s="3"/>
      <c r="S9" s="3"/>
      <c r="T9" s="3"/>
      <c r="U9" s="3"/>
      <c r="V9" s="3"/>
      <c r="W9" s="3"/>
      <c r="X9" s="3"/>
      <c r="Y9" s="3"/>
      <c r="Z9" s="3"/>
    </row>
    <row r="10" ht="15.0" customHeight="1">
      <c r="A10" s="27" t="s">
        <v>146</v>
      </c>
      <c r="B10" s="36">
        <f>SUMPRODUCT('Weights &amp; Rules'!$B$14:$B$18,B5:B9)</f>
        <v>53.5</v>
      </c>
      <c r="C10" s="36">
        <f>SUMPRODUCT('Weights &amp; Rules'!$B$14:$B$18,C5:C9)</f>
        <v>42.5</v>
      </c>
      <c r="D10" s="36">
        <f>SUMPRODUCT('Weights &amp; Rules'!$B$14:$B$18,D5:D9)</f>
        <v>33.25</v>
      </c>
      <c r="E10" s="36">
        <f>SUMPRODUCT('Weights &amp; Rules'!$B$14:$B$18,E5:E9)</f>
        <v>50.25</v>
      </c>
      <c r="F10" s="35"/>
      <c r="G10" s="18"/>
      <c r="H10" s="1"/>
      <c r="I10" s="3"/>
      <c r="J10" s="3"/>
      <c r="K10" s="3"/>
      <c r="L10" s="3"/>
      <c r="M10" s="3"/>
      <c r="N10" s="3"/>
      <c r="O10" s="3"/>
      <c r="P10" s="3"/>
      <c r="Q10" s="3"/>
      <c r="R10" s="3"/>
      <c r="S10" s="3"/>
      <c r="T10" s="3"/>
      <c r="U10" s="3"/>
      <c r="V10" s="3"/>
      <c r="W10" s="3"/>
      <c r="X10" s="3"/>
      <c r="Y10" s="3"/>
      <c r="Z10" s="3"/>
    </row>
    <row r="11" ht="15.0" customHeight="1">
      <c r="A11" s="27" t="s">
        <v>165</v>
      </c>
      <c r="B11" s="37" t="s">
        <v>167</v>
      </c>
      <c r="C11" s="37" t="s">
        <v>167</v>
      </c>
      <c r="D11" s="37" t="s">
        <v>253</v>
      </c>
      <c r="E11" s="37" t="s">
        <v>167</v>
      </c>
      <c r="F11" s="35"/>
      <c r="G11" s="18"/>
      <c r="H11" s="1"/>
      <c r="I11" s="3"/>
      <c r="J11" s="3"/>
      <c r="K11" s="3"/>
      <c r="L11" s="3"/>
      <c r="M11" s="3"/>
      <c r="N11" s="3"/>
      <c r="O11" s="3"/>
      <c r="P11" s="3"/>
      <c r="Q11" s="3"/>
      <c r="R11" s="3"/>
      <c r="S11" s="3"/>
      <c r="T11" s="3"/>
      <c r="U11" s="3"/>
      <c r="V11" s="3"/>
      <c r="W11" s="3"/>
      <c r="X11" s="3"/>
      <c r="Y11" s="3"/>
      <c r="Z11" s="3"/>
    </row>
    <row r="12" ht="13.5" customHeight="1">
      <c r="A12" s="32"/>
      <c r="B12" s="32"/>
      <c r="C12" s="32"/>
      <c r="D12" s="32"/>
      <c r="E12" s="32"/>
      <c r="F12" s="32"/>
      <c r="G12" s="1"/>
      <c r="H12" s="1"/>
      <c r="I12" s="3"/>
      <c r="J12" s="3"/>
      <c r="K12" s="3"/>
      <c r="L12" s="3"/>
      <c r="M12" s="3"/>
      <c r="N12" s="3"/>
      <c r="O12" s="3"/>
      <c r="P12" s="3"/>
      <c r="Q12" s="3"/>
      <c r="R12" s="3"/>
      <c r="S12" s="3"/>
      <c r="T12" s="3"/>
      <c r="U12" s="3"/>
      <c r="V12" s="3"/>
      <c r="W12" s="3"/>
      <c r="X12" s="3"/>
      <c r="Y12" s="3"/>
      <c r="Z12" s="3"/>
    </row>
    <row r="13" ht="15.0" customHeight="1">
      <c r="A13" s="9" t="s">
        <v>254</v>
      </c>
      <c r="B13" s="12"/>
      <c r="C13" s="12"/>
      <c r="D13" s="12"/>
      <c r="E13" s="12"/>
      <c r="F13" s="12"/>
      <c r="G13" s="12"/>
      <c r="H13" s="12"/>
      <c r="I13" s="3"/>
      <c r="J13" s="3"/>
      <c r="K13" s="3"/>
      <c r="L13" s="3"/>
      <c r="M13" s="3"/>
      <c r="N13" s="3"/>
      <c r="O13" s="3"/>
      <c r="P13" s="3"/>
      <c r="Q13" s="3"/>
      <c r="R13" s="3"/>
      <c r="S13" s="3"/>
      <c r="T13" s="3"/>
      <c r="U13" s="3"/>
      <c r="V13" s="3"/>
      <c r="W13" s="3"/>
      <c r="X13" s="3"/>
      <c r="Y13" s="3"/>
      <c r="Z13" s="3"/>
    </row>
    <row r="14" ht="23.25" customHeight="1">
      <c r="A14" s="16" t="s">
        <v>184</v>
      </c>
      <c r="B14" s="16" t="s">
        <v>185</v>
      </c>
      <c r="C14" s="16" t="s">
        <v>186</v>
      </c>
      <c r="D14" s="16" t="s">
        <v>187</v>
      </c>
      <c r="E14" s="16" t="s">
        <v>188</v>
      </c>
      <c r="F14" s="16" t="s">
        <v>189</v>
      </c>
      <c r="G14" s="16" t="s">
        <v>190</v>
      </c>
      <c r="H14" s="16" t="s">
        <v>191</v>
      </c>
      <c r="I14" s="3"/>
      <c r="J14" s="3"/>
      <c r="K14" s="3"/>
      <c r="L14" s="3"/>
      <c r="M14" s="3"/>
      <c r="N14" s="3"/>
      <c r="O14" s="3"/>
      <c r="P14" s="3"/>
      <c r="Q14" s="3"/>
      <c r="R14" s="3"/>
      <c r="S14" s="3"/>
      <c r="T14" s="3"/>
      <c r="U14" s="3"/>
      <c r="V14" s="3"/>
      <c r="W14" s="3"/>
      <c r="X14" s="3"/>
      <c r="Y14" s="3"/>
      <c r="Z14" s="3"/>
    </row>
    <row r="15" ht="15.0" customHeight="1">
      <c r="A15" s="38" t="s">
        <v>248</v>
      </c>
      <c r="B15" s="21">
        <v>0.45</v>
      </c>
      <c r="C15" s="39">
        <f>B10</f>
        <v>53.5</v>
      </c>
      <c r="D15" s="40" t="str">
        <f>B11</f>
        <v>N</v>
      </c>
      <c r="E15" s="42">
        <f>IF(D15="Y",MIN(0,MAX(-'Weights &amp; Rules'!$B$47,MIN('Weights &amp; Rules'!$B$47,(C15-50)/50*'Weights &amp; Rules'!$B$47))),MAX(-'Weights &amp; Rules'!$B$47,MIN('Weights &amp; Rules'!$B$47,(C15-50)/50*'Weights &amp; Rules'!$B$47)))</f>
        <v>0.021</v>
      </c>
      <c r="F15" s="42">
        <f t="shared" ref="F15:F18" si="1">B15*(1+E15)</f>
        <v>0.45945</v>
      </c>
      <c r="G15" s="29">
        <f t="shared" ref="G15:G18" si="2">F15/SUM($F$15:$F$18)</f>
        <v>0.4661272732</v>
      </c>
      <c r="H15" s="45">
        <f t="shared" ref="H15:H18" si="3">G15-B15</f>
        <v>0.01612727319</v>
      </c>
      <c r="I15" s="3"/>
      <c r="J15" s="3"/>
      <c r="K15" s="3"/>
      <c r="L15" s="3"/>
      <c r="M15" s="3"/>
      <c r="N15" s="3"/>
      <c r="O15" s="3"/>
      <c r="P15" s="3"/>
      <c r="Q15" s="3"/>
      <c r="R15" s="3"/>
      <c r="S15" s="3"/>
      <c r="T15" s="3"/>
      <c r="U15" s="3"/>
      <c r="V15" s="3"/>
      <c r="W15" s="3"/>
      <c r="X15" s="3"/>
      <c r="Y15" s="3"/>
      <c r="Z15" s="3"/>
    </row>
    <row r="16" ht="15.0" customHeight="1">
      <c r="A16" s="38" t="s">
        <v>249</v>
      </c>
      <c r="B16" s="21">
        <v>0.2</v>
      </c>
      <c r="C16" s="39">
        <f>C10</f>
        <v>42.5</v>
      </c>
      <c r="D16" s="40" t="str">
        <f>C11</f>
        <v>N</v>
      </c>
      <c r="E16" s="42">
        <f>IF(D16="Y",MIN(0,MAX(-'Weights &amp; Rules'!$B$47,MIN('Weights &amp; Rules'!$B$47,(C16-50)/50*'Weights &amp; Rules'!$B$47))),MAX(-'Weights &amp; Rules'!$B$47,MIN('Weights &amp; Rules'!$B$47,(C16-50)/50*'Weights &amp; Rules'!$B$47)))</f>
        <v>-0.045</v>
      </c>
      <c r="F16" s="42">
        <f t="shared" si="1"/>
        <v>0.191</v>
      </c>
      <c r="G16" s="29">
        <f t="shared" si="2"/>
        <v>0.1937758389</v>
      </c>
      <c r="H16" s="45">
        <f t="shared" si="3"/>
        <v>-0.006224161108</v>
      </c>
      <c r="I16" s="3"/>
      <c r="J16" s="3"/>
      <c r="K16" s="3"/>
      <c r="L16" s="3"/>
      <c r="M16" s="3"/>
      <c r="N16" s="3"/>
      <c r="O16" s="3"/>
      <c r="P16" s="3"/>
      <c r="Q16" s="3"/>
      <c r="R16" s="3"/>
      <c r="S16" s="3"/>
      <c r="T16" s="3"/>
      <c r="U16" s="3"/>
      <c r="V16" s="3"/>
      <c r="W16" s="3"/>
      <c r="X16" s="3"/>
      <c r="Y16" s="3"/>
      <c r="Z16" s="3"/>
    </row>
    <row r="17" ht="15.0" customHeight="1">
      <c r="A17" s="38" t="s">
        <v>250</v>
      </c>
      <c r="B17" s="21">
        <v>0.15</v>
      </c>
      <c r="C17" s="39">
        <f>D10</f>
        <v>33.25</v>
      </c>
      <c r="D17" s="40" t="str">
        <f>D11</f>
        <v>Y</v>
      </c>
      <c r="E17" s="42">
        <f>IF(D17="Y",MIN(0,MAX(-'Weights &amp; Rules'!$B$47,MIN('Weights &amp; Rules'!$B$47,(C17-50)/50*'Weights &amp; Rules'!$B$47))),MAX(-'Weights &amp; Rules'!$B$47,MIN('Weights &amp; Rules'!$B$47,(C17-50)/50*'Weights &amp; Rules'!$B$47)))</f>
        <v>-0.1005</v>
      </c>
      <c r="F17" s="42">
        <f t="shared" si="1"/>
        <v>0.134925</v>
      </c>
      <c r="G17" s="29">
        <f t="shared" si="2"/>
        <v>0.1368858904</v>
      </c>
      <c r="H17" s="45">
        <f t="shared" si="3"/>
        <v>-0.01311410962</v>
      </c>
      <c r="I17" s="3"/>
      <c r="J17" s="3"/>
      <c r="K17" s="3"/>
      <c r="L17" s="3"/>
      <c r="M17" s="3"/>
      <c r="N17" s="3"/>
      <c r="O17" s="3"/>
      <c r="P17" s="3"/>
      <c r="Q17" s="3"/>
      <c r="R17" s="3"/>
      <c r="S17" s="3"/>
      <c r="T17" s="3"/>
      <c r="U17" s="3"/>
      <c r="V17" s="3"/>
      <c r="W17" s="3"/>
      <c r="X17" s="3"/>
      <c r="Y17" s="3"/>
      <c r="Z17" s="3"/>
    </row>
    <row r="18" ht="15.0" customHeight="1">
      <c r="A18" s="38" t="s">
        <v>251</v>
      </c>
      <c r="B18" s="21">
        <v>0.2</v>
      </c>
      <c r="C18" s="39">
        <f>E10</f>
        <v>50.25</v>
      </c>
      <c r="D18" s="40" t="str">
        <f>E11</f>
        <v>N</v>
      </c>
      <c r="E18" s="42">
        <f>IF(D18="Y",MIN(0,MAX(-'Weights &amp; Rules'!$B$47,MIN('Weights &amp; Rules'!$B$47,(C18-50)/50*'Weights &amp; Rules'!$B$47))),MAX(-'Weights &amp; Rules'!$B$47,MIN('Weights &amp; Rules'!$B$47,(C18-50)/50*'Weights &amp; Rules'!$B$47)))</f>
        <v>0.0015</v>
      </c>
      <c r="F18" s="42">
        <f t="shared" si="1"/>
        <v>0.2003</v>
      </c>
      <c r="G18" s="29">
        <f t="shared" si="2"/>
        <v>0.2032109975</v>
      </c>
      <c r="H18" s="45">
        <f t="shared" si="3"/>
        <v>0.00321099754</v>
      </c>
      <c r="I18" s="3"/>
      <c r="J18" s="3"/>
      <c r="K18" s="3"/>
      <c r="L18" s="3"/>
      <c r="M18" s="3"/>
      <c r="N18" s="3"/>
      <c r="O18" s="3"/>
      <c r="P18" s="3"/>
      <c r="Q18" s="3"/>
      <c r="R18" s="3"/>
      <c r="S18" s="3"/>
      <c r="T18" s="3"/>
      <c r="U18" s="3"/>
      <c r="V18" s="3"/>
      <c r="W18" s="3"/>
      <c r="X18" s="3"/>
      <c r="Y18" s="3"/>
      <c r="Z18" s="3"/>
    </row>
    <row r="19" ht="15.0" customHeight="1">
      <c r="A19" s="27" t="s">
        <v>240</v>
      </c>
      <c r="B19" s="29">
        <f>SUM(B15:B18)</f>
        <v>1</v>
      </c>
      <c r="C19" s="31"/>
      <c r="D19" s="32"/>
      <c r="E19" s="32"/>
      <c r="F19" s="46"/>
      <c r="G19" s="29">
        <f>SUM(G15:G18)</f>
        <v>1</v>
      </c>
      <c r="H19" s="38" t="str">
        <f>IF(ABS(B19-1)&lt;0.001,"OK","Neutrals must sum to 100%")</f>
        <v>OK</v>
      </c>
      <c r="I19" s="3"/>
      <c r="J19" s="3"/>
      <c r="K19" s="3"/>
      <c r="L19" s="3"/>
      <c r="M19" s="3"/>
      <c r="N19" s="3"/>
      <c r="O19" s="3"/>
      <c r="P19" s="3"/>
      <c r="Q19" s="3"/>
      <c r="R19" s="3"/>
      <c r="S19" s="3"/>
      <c r="T19" s="3"/>
      <c r="U19" s="3"/>
      <c r="V19" s="3"/>
      <c r="W19" s="3"/>
      <c r="X19" s="3"/>
      <c r="Y19" s="3"/>
      <c r="Z19" s="3"/>
    </row>
    <row r="20" ht="14.2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4.2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4.2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4.2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4.2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4.2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4.2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4.2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4.2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4.2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4.2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4.2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4.2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4.2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4.2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4.2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4.2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4.2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4.2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4.2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4.2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4.2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4.2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4.2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4.2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4.2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4.2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4.2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4.2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4.2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4.2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4.2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4.2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4.2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4.2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4.2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4.2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4.2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4.2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4.2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4.2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4.2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4.2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4.2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4.2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4.2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4.2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4.2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4.2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4.2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4.2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4.2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4.2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4.2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4.2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4.2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4.2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4.2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4.2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4.2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4.2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4.2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4.2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4.2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4.2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4.2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4.2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4.2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4.2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4.2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4.2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4.2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4.2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4.2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4.2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4.2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4.2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4.2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4.2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4.2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4.2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4.2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4.2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4.2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4.2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4.2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4.2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4.2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4.2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4.2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4.2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4.2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4.2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4.2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4.2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4.2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4.2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4.2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4.2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4.2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4.2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4.2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4.2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4.2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4.2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4.2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4.2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4.2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4.2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4.2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4.2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4.2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4.2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4.2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4.2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4.2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4.2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4.2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4.2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4.2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4.2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4.2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4.2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4.2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4.2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4.2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4.2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4.2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4.2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4.2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4.2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4.2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4.2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4.2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4.2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4.2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4.2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4.2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4.2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4.2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4.2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4.2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4.2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4.2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4.2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4.2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4.2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4.2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4.2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4.2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4.2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4.2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4.2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4.2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4.2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4.2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4.2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4.2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4.2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4.2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4.2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4.2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4.2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4.2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4.2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4.2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4.2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4.2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4.2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4.2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4.2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4.2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4.2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4.2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4.2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4.2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4.2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4.2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4.2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4.2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4.2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4.2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4.2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4.2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4.2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4.2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4.2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4.2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4.2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4.2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4.2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4.2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4.2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4.2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4.2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4.2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4.2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4.2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4.2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4.2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4.2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4.2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4.2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4.2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4.2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4.2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4.2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4.2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4.2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4.2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4.2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4.2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4.2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4.2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4.2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4.2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4.2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4.2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4.2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4.2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4.2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4.2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4.2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4.2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4.2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4.2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4.2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4.2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4.2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4.2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4.2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4.2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4.2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4.2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4.2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4.2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4.2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4.2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4.2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4.2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4.2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4.2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4.2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4.2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4.2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4.2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4.2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4.2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4.2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4.2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4.2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4.2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4.2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4.2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4.2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4.2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4.2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4.2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4.2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4.2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4.2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4.2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4.2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4.2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4.2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4.2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4.2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4.2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4.2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4.2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4.2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4.2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4.2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4.2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4.2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4.2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4.2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4.2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4.2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4.2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4.2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4.2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4.2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4.2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4.2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4.2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4.2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4.2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4.2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4.2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4.2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4.2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4.2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4.2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4.2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4.2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4.2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4.2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4.2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4.2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4.2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4.2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4.2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4.2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4.2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4.2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4.2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4.2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4.2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4.2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4.2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4.2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4.2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4.2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4.2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4.2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4.2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4.2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4.2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4.2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4.2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4.2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4.2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4.2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4.2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4.2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4.2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4.2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4.2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4.2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4.2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4.2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4.2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4.2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4.2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4.2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4.2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4.2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4.2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4.2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4.2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4.2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4.2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4.2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4.2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4.2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4.2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4.2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4.2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4.2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4.2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4.2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4.2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4.2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4.2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4.2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4.2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4.2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4.2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4.2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4.2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4.2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4.2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4.2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4.2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4.2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4.2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4.2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4.2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4.2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4.2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4.2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4.2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4.2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4.2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4.2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4.2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4.2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4.2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4.2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4.2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4.2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4.2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4.2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4.2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4.2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4.2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4.2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4.2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4.2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4.2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4.2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4.2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4.2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4.2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4.2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4.2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4.2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4.2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4.2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4.2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4.2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4.2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4.2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4.2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4.2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4.2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4.2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4.2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4.2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4.2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4.2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4.2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4.2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4.2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4.2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4.2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4.2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4.2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4.2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4.2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4.2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4.2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4.2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4.2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4.2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4.2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4.2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4.2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4.2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4.2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4.2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4.2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4.2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4.2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4.2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4.2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4.2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4.2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4.2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4.2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4.2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4.2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4.2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4.2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4.2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4.2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4.2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4.2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4.2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4.2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4.2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4.2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4.2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4.2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4.2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4.2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4.2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4.2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4.2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4.2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4.2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4.2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4.2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4.2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4.2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4.2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4.2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4.2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4.2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4.2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4.2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4.2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4.2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4.2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4.2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4.2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4.2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4.2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4.2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4.2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4.2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4.2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4.2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4.2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4.2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4.2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4.2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4.2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4.2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4.2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4.2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4.2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4.2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4.2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4.2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4.2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4.2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4.2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4.2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4.2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4.2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4.2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4.2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4.2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4.2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4.2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4.2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4.2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4.2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4.2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4.2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4.2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4.2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4.2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4.2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4.2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4.2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4.2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4.2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4.2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4.2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4.2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4.2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4.2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4.2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4.2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4.2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4.2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4.2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4.2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4.2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4.2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4.2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4.2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4.2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4.2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4.2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4.2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4.2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4.2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4.2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4.2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4.2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4.2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4.2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4.2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4.2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4.2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4.2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4.2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4.2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4.2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4.2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4.2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4.2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4.2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4.2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4.2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4.2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4.2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4.2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4.2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4.2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4.2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4.2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4.2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4.2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4.2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4.2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4.2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4.2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4.2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4.2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4.2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4.2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4.2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4.2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4.2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4.2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4.2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4.2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4.2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4.2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4.2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4.2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4.2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4.2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4.2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4.2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4.2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4.2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4.2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4.2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4.2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4.2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4.2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4.2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4.2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4.2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4.2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4.2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4.2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4.2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4.2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4.2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4.2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4.2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4.2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4.2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4.2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4.2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4.2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4.2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4.2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4.2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4.2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4.2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4.2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4.2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4.2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4.2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4.2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4.2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4.2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4.2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4.2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4.2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4.2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4.2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4.2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4.2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4.2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4.2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4.2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4.2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4.2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4.2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4.2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4.2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4.2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4.2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4.2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4.2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4.2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4.2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4.2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4.2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4.2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4.2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4.2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4.2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4.2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4.2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4.2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4.2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4.2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4.2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4.2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4.2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4.2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4.2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4.2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4.2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4.2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4.2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4.2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4.2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4.2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4.2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4.2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4.2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4.2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4.2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4.2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4.2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4.2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4.2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4.2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4.2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4.2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4.2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4.2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4.2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4.2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4.2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4.2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4.2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4.2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4.2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4.2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4.2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4.2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4.2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4.2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4.2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4.2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4.2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4.2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4.2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4.2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4.2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4.2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4.2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4.2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4.2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4.2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4.2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4.2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4.2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4.2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4.2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4.2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4.2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4.2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4.2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4.2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4.2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4.2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4.2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4.2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4.2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4.2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4.2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4.2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4.2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4.2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4.2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4.2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4.2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4.2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4.2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4.2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4.2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4.2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4.2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4.2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4.2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4.2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4.2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4.2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4.2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4.2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4.2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4.2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4.2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4.2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4.2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4.2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4.2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4.2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4.2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4.2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4.2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4.2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4.2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4.2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4.2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4.2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4.2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4.2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4.2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4.2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4.2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4.2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4.2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4.2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4.2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4.2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4.2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4.2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4.2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4.2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4.2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4.2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4.2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4.2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4.2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4.2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4.2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4.2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4.2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4.2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4.2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4.2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4.2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4.2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4.2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4.2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4.2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4.2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4.2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4.2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4.2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4.2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4.2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4.2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4.2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4.2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4.2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4.2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4.2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4.2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4.2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4.2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4.2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4.2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4.2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4.2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4.2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4.2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4.2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4.2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4.2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4.2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4.2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4.2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4.2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4.2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4.2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4.2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4.2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4.2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4.2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4.2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4.2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4.2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4.2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4.2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4.2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4.2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4.2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4.2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4.2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4.2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4.2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4.2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4.2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4.2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4.2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4.2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4.2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4.2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4.2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4.2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4.2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4.2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4.2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4.2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4.2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4.2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4.2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4.2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4.2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4.2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4.2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4.2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4.2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4.2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4.2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4.2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4.2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4.2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4.2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4.2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4.2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4.2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4.2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4.2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4.2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4.2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4.2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4.2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4.2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4.2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4.2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4.2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4.2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4.2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4.2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4.2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4.2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4.2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4.2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4.2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4.2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4.2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4.2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4.2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4.2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4.2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4.2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4.2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4.2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4.2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4.2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4.2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4.2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4.2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4.2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4.2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4.2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4.2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4.2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4.2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4.2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4.2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4.2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4.2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4.2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4.2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4.2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4.2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4.2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4.2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4.2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4.2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4.2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4.2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4.2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4.2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4.2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4.2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4.2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4.2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4.2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4.2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4.2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4.2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4.2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4.2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4.2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4.2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4.2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4.2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4.2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4.2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4.2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4.2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4.2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4.2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4.2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4.2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4.2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4.2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4.2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4.2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4.2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4.2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4.2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4.2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4.2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4.2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4.2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4.2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4.2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4.2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4.2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4.2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4.2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4.2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4.2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4.2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4.2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4.2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4.2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4.2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4.2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4.2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4.2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4.2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4.2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4.2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4.2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4.2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4.2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4.2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4.2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4.2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4.2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4.2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1.0" footer="0.0" header="0.0" left="0.75" right="0.75" top="1.0"/>
  <pageSetup orientation="portrait"/>
  <headerFooter>
    <oddFooter>&amp;C000000&amp;P</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0"/>
    <col customWidth="1" min="2" max="2" width="14.0"/>
    <col customWidth="1" min="3" max="3" width="12.0"/>
    <col customWidth="1" min="4" max="4" width="8.0"/>
    <col customWidth="1" min="5" max="6" width="11.0"/>
    <col customWidth="1" min="7" max="7" width="14.0"/>
    <col customWidth="1" min="8" max="8" width="11.0"/>
    <col customWidth="1" min="9" max="26" width="8.71"/>
  </cols>
  <sheetData>
    <row r="1" ht="17.25" customHeight="1">
      <c r="A1" s="6" t="s">
        <v>242</v>
      </c>
      <c r="B1" s="1"/>
      <c r="C1" s="1"/>
      <c r="D1" s="1"/>
      <c r="E1" s="1"/>
      <c r="F1" s="1"/>
      <c r="G1" s="1"/>
      <c r="H1" s="1"/>
      <c r="I1" s="3"/>
      <c r="J1" s="3"/>
      <c r="K1" s="3"/>
      <c r="L1" s="3"/>
      <c r="M1" s="3"/>
      <c r="N1" s="3"/>
      <c r="O1" s="3"/>
      <c r="P1" s="3"/>
      <c r="Q1" s="3"/>
      <c r="R1" s="3"/>
      <c r="S1" s="3"/>
      <c r="T1" s="3"/>
      <c r="U1" s="3"/>
      <c r="V1" s="3"/>
      <c r="W1" s="3"/>
      <c r="X1" s="3"/>
      <c r="Y1" s="3"/>
      <c r="Z1" s="3"/>
    </row>
    <row r="2" ht="15.0" customHeight="1">
      <c r="A2" s="33" t="s">
        <v>243</v>
      </c>
      <c r="B2" s="1"/>
      <c r="C2" s="1"/>
      <c r="D2" s="1"/>
      <c r="E2" s="1"/>
      <c r="F2" s="1"/>
      <c r="G2" s="1"/>
      <c r="H2" s="1"/>
      <c r="I2" s="3"/>
      <c r="J2" s="3"/>
      <c r="K2" s="3"/>
      <c r="L2" s="3"/>
      <c r="M2" s="3"/>
      <c r="N2" s="3"/>
      <c r="O2" s="3"/>
      <c r="P2" s="3"/>
      <c r="Q2" s="3"/>
      <c r="R2" s="3"/>
      <c r="S2" s="3"/>
      <c r="T2" s="3"/>
      <c r="U2" s="3"/>
      <c r="V2" s="3"/>
      <c r="W2" s="3"/>
      <c r="X2" s="3"/>
      <c r="Y2" s="3"/>
      <c r="Z2" s="3"/>
    </row>
    <row r="3" ht="13.5" customHeight="1">
      <c r="A3" s="12"/>
      <c r="B3" s="12"/>
      <c r="C3" s="12"/>
      <c r="D3" s="12"/>
      <c r="E3" s="12"/>
      <c r="F3" s="1"/>
      <c r="G3" s="1"/>
      <c r="H3" s="1"/>
      <c r="I3" s="3"/>
      <c r="J3" s="3"/>
      <c r="K3" s="3"/>
      <c r="L3" s="3"/>
      <c r="M3" s="3"/>
      <c r="N3" s="3"/>
      <c r="O3" s="3"/>
      <c r="P3" s="3"/>
      <c r="Q3" s="3"/>
      <c r="R3" s="3"/>
      <c r="S3" s="3"/>
      <c r="T3" s="3"/>
      <c r="U3" s="3"/>
      <c r="V3" s="3"/>
      <c r="W3" s="3"/>
      <c r="X3" s="3"/>
      <c r="Y3" s="3"/>
      <c r="Z3" s="3"/>
    </row>
    <row r="4" ht="23.25" customHeight="1">
      <c r="A4" s="16" t="s">
        <v>12</v>
      </c>
      <c r="B4" s="16" t="s">
        <v>245</v>
      </c>
      <c r="C4" s="16" t="s">
        <v>246</v>
      </c>
      <c r="D4" s="16" t="s">
        <v>247</v>
      </c>
      <c r="E4" s="16" t="s">
        <v>127</v>
      </c>
      <c r="F4" s="18"/>
      <c r="G4" s="1"/>
      <c r="H4" s="1"/>
      <c r="I4" s="3"/>
      <c r="J4" s="3"/>
      <c r="K4" s="3"/>
      <c r="L4" s="3"/>
      <c r="M4" s="3"/>
      <c r="N4" s="3"/>
      <c r="O4" s="3"/>
      <c r="P4" s="3"/>
      <c r="Q4" s="3"/>
      <c r="R4" s="3"/>
      <c r="S4" s="3"/>
      <c r="T4" s="3"/>
      <c r="U4" s="3"/>
      <c r="V4" s="3"/>
      <c r="W4" s="3"/>
      <c r="X4" s="3"/>
      <c r="Y4" s="3"/>
      <c r="Z4" s="3"/>
    </row>
    <row r="5" ht="23.25" customHeight="1">
      <c r="A5" s="20" t="s">
        <v>149</v>
      </c>
      <c r="B5" s="34">
        <v>55.0</v>
      </c>
      <c r="C5" s="34">
        <v>60.0</v>
      </c>
      <c r="D5" s="34">
        <v>65.0</v>
      </c>
      <c r="E5" s="35"/>
      <c r="F5" s="18"/>
      <c r="G5" s="1"/>
      <c r="H5" s="1"/>
      <c r="I5" s="3"/>
      <c r="J5" s="3"/>
      <c r="K5" s="3"/>
      <c r="L5" s="3"/>
      <c r="M5" s="3"/>
      <c r="N5" s="3"/>
      <c r="O5" s="3"/>
      <c r="P5" s="3"/>
      <c r="Q5" s="3"/>
      <c r="R5" s="3"/>
      <c r="S5" s="3"/>
      <c r="T5" s="3"/>
      <c r="U5" s="3"/>
      <c r="V5" s="3"/>
      <c r="W5" s="3"/>
      <c r="X5" s="3"/>
      <c r="Y5" s="3"/>
      <c r="Z5" s="3"/>
    </row>
    <row r="6" ht="23.25" customHeight="1">
      <c r="A6" s="20" t="s">
        <v>114</v>
      </c>
      <c r="B6" s="34">
        <v>40.0</v>
      </c>
      <c r="C6" s="34">
        <v>55.0</v>
      </c>
      <c r="D6" s="34">
        <v>70.0</v>
      </c>
      <c r="E6" s="35"/>
      <c r="F6" s="18"/>
      <c r="G6" s="1"/>
      <c r="H6" s="1"/>
      <c r="I6" s="3"/>
      <c r="J6" s="3"/>
      <c r="K6" s="3"/>
      <c r="L6" s="3"/>
      <c r="M6" s="3"/>
      <c r="N6" s="3"/>
      <c r="O6" s="3"/>
      <c r="P6" s="3"/>
      <c r="Q6" s="3"/>
      <c r="R6" s="3"/>
      <c r="S6" s="3"/>
      <c r="T6" s="3"/>
      <c r="U6" s="3"/>
      <c r="V6" s="3"/>
      <c r="W6" s="3"/>
      <c r="X6" s="3"/>
      <c r="Y6" s="3"/>
      <c r="Z6" s="3"/>
    </row>
    <row r="7" ht="15.0" customHeight="1">
      <c r="A7" s="20" t="s">
        <v>116</v>
      </c>
      <c r="B7" s="34">
        <v>50.0</v>
      </c>
      <c r="C7" s="34">
        <v>45.0</v>
      </c>
      <c r="D7" s="34">
        <v>50.0</v>
      </c>
      <c r="E7" s="35"/>
      <c r="F7" s="18"/>
      <c r="G7" s="1"/>
      <c r="H7" s="1"/>
      <c r="I7" s="3"/>
      <c r="J7" s="3"/>
      <c r="K7" s="3"/>
      <c r="L7" s="3"/>
      <c r="M7" s="3"/>
      <c r="N7" s="3"/>
      <c r="O7" s="3"/>
      <c r="P7" s="3"/>
      <c r="Q7" s="3"/>
      <c r="R7" s="3"/>
      <c r="S7" s="3"/>
      <c r="T7" s="3"/>
      <c r="U7" s="3"/>
      <c r="V7" s="3"/>
      <c r="W7" s="3"/>
      <c r="X7" s="3"/>
      <c r="Y7" s="3"/>
      <c r="Z7" s="3"/>
    </row>
    <row r="8" ht="23.25" customHeight="1">
      <c r="A8" s="20" t="s">
        <v>119</v>
      </c>
      <c r="B8" s="34">
        <v>90.0</v>
      </c>
      <c r="C8" s="34">
        <v>65.0</v>
      </c>
      <c r="D8" s="34">
        <v>75.0</v>
      </c>
      <c r="E8" s="35"/>
      <c r="F8" s="18"/>
      <c r="G8" s="1"/>
      <c r="H8" s="1"/>
      <c r="I8" s="3"/>
      <c r="J8" s="3"/>
      <c r="K8" s="3"/>
      <c r="L8" s="3"/>
      <c r="M8" s="3"/>
      <c r="N8" s="3"/>
      <c r="O8" s="3"/>
      <c r="P8" s="3"/>
      <c r="Q8" s="3"/>
      <c r="R8" s="3"/>
      <c r="S8" s="3"/>
      <c r="T8" s="3"/>
      <c r="U8" s="3"/>
      <c r="V8" s="3"/>
      <c r="W8" s="3"/>
      <c r="X8" s="3"/>
      <c r="Y8" s="3"/>
      <c r="Z8" s="3"/>
    </row>
    <row r="9" ht="15.0" customHeight="1">
      <c r="A9" s="27" t="s">
        <v>146</v>
      </c>
      <c r="B9" s="36">
        <f>SUMPRODUCT('Weights &amp; Rules'!$B$23:$B$26,B5:B8)</f>
        <v>54.5</v>
      </c>
      <c r="C9" s="36">
        <f>SUMPRODUCT('Weights &amp; Rules'!$B$23:$B$26,C5:C8)</f>
        <v>55.5</v>
      </c>
      <c r="D9" s="36">
        <f>SUMPRODUCT('Weights &amp; Rules'!$B$23:$B$26,D5:D8)</f>
        <v>64.25</v>
      </c>
      <c r="E9" s="35"/>
      <c r="F9" s="18"/>
      <c r="G9" s="1"/>
      <c r="H9" s="1"/>
      <c r="I9" s="3"/>
      <c r="J9" s="3"/>
      <c r="K9" s="3"/>
      <c r="L9" s="3"/>
      <c r="M9" s="3"/>
      <c r="N9" s="3"/>
      <c r="O9" s="3"/>
      <c r="P9" s="3"/>
      <c r="Q9" s="3"/>
      <c r="R9" s="3"/>
      <c r="S9" s="3"/>
      <c r="T9" s="3"/>
      <c r="U9" s="3"/>
      <c r="V9" s="3"/>
      <c r="W9" s="3"/>
      <c r="X9" s="3"/>
      <c r="Y9" s="3"/>
      <c r="Z9" s="3"/>
    </row>
    <row r="10" ht="15.0" customHeight="1">
      <c r="A10" s="27" t="s">
        <v>165</v>
      </c>
      <c r="B10" s="37" t="s">
        <v>167</v>
      </c>
      <c r="C10" s="37" t="s">
        <v>167</v>
      </c>
      <c r="D10" s="37" t="s">
        <v>167</v>
      </c>
      <c r="E10" s="35"/>
      <c r="F10" s="18"/>
      <c r="G10" s="1"/>
      <c r="H10" s="1"/>
      <c r="I10" s="3"/>
      <c r="J10" s="3"/>
      <c r="K10" s="3"/>
      <c r="L10" s="3"/>
      <c r="M10" s="3"/>
      <c r="N10" s="3"/>
      <c r="O10" s="3"/>
      <c r="P10" s="3"/>
      <c r="Q10" s="3"/>
      <c r="R10" s="3"/>
      <c r="S10" s="3"/>
      <c r="T10" s="3"/>
      <c r="U10" s="3"/>
      <c r="V10" s="3"/>
      <c r="W10" s="3"/>
      <c r="X10" s="3"/>
      <c r="Y10" s="3"/>
      <c r="Z10" s="3"/>
    </row>
    <row r="11" ht="13.5" customHeight="1">
      <c r="A11" s="32"/>
      <c r="B11" s="32"/>
      <c r="C11" s="32"/>
      <c r="D11" s="32"/>
      <c r="E11" s="32"/>
      <c r="F11" s="1"/>
      <c r="G11" s="1"/>
      <c r="H11" s="1"/>
      <c r="I11" s="3"/>
      <c r="J11" s="3"/>
      <c r="K11" s="3"/>
      <c r="L11" s="3"/>
      <c r="M11" s="3"/>
      <c r="N11" s="3"/>
      <c r="O11" s="3"/>
      <c r="P11" s="3"/>
      <c r="Q11" s="3"/>
      <c r="R11" s="3"/>
      <c r="S11" s="3"/>
      <c r="T11" s="3"/>
      <c r="U11" s="3"/>
      <c r="V11" s="3"/>
      <c r="W11" s="3"/>
      <c r="X11" s="3"/>
      <c r="Y11" s="3"/>
      <c r="Z11" s="3"/>
    </row>
    <row r="12" ht="15.0" customHeight="1">
      <c r="A12" s="9" t="s">
        <v>252</v>
      </c>
      <c r="B12" s="12"/>
      <c r="C12" s="12"/>
      <c r="D12" s="12"/>
      <c r="E12" s="12"/>
      <c r="F12" s="12"/>
      <c r="G12" s="12"/>
      <c r="H12" s="12"/>
      <c r="I12" s="3"/>
      <c r="J12" s="3"/>
      <c r="K12" s="3"/>
      <c r="L12" s="3"/>
      <c r="M12" s="3"/>
      <c r="N12" s="3"/>
      <c r="O12" s="3"/>
      <c r="P12" s="3"/>
      <c r="Q12" s="3"/>
      <c r="R12" s="3"/>
      <c r="S12" s="3"/>
      <c r="T12" s="3"/>
      <c r="U12" s="3"/>
      <c r="V12" s="3"/>
      <c r="W12" s="3"/>
      <c r="X12" s="3"/>
      <c r="Y12" s="3"/>
      <c r="Z12" s="3"/>
    </row>
    <row r="13" ht="23.25" customHeight="1">
      <c r="A13" s="16" t="s">
        <v>184</v>
      </c>
      <c r="B13" s="16" t="s">
        <v>185</v>
      </c>
      <c r="C13" s="16" t="s">
        <v>186</v>
      </c>
      <c r="D13" s="16" t="s">
        <v>187</v>
      </c>
      <c r="E13" s="16" t="s">
        <v>188</v>
      </c>
      <c r="F13" s="16" t="s">
        <v>189</v>
      </c>
      <c r="G13" s="16" t="s">
        <v>190</v>
      </c>
      <c r="H13" s="16" t="s">
        <v>191</v>
      </c>
      <c r="I13" s="3"/>
      <c r="J13" s="3"/>
      <c r="K13" s="3"/>
      <c r="L13" s="3"/>
      <c r="M13" s="3"/>
      <c r="N13" s="3"/>
      <c r="O13" s="3"/>
      <c r="P13" s="3"/>
      <c r="Q13" s="3"/>
      <c r="R13" s="3"/>
      <c r="S13" s="3"/>
      <c r="T13" s="3"/>
      <c r="U13" s="3"/>
      <c r="V13" s="3"/>
      <c r="W13" s="3"/>
      <c r="X13" s="3"/>
      <c r="Y13" s="3"/>
      <c r="Z13" s="3"/>
    </row>
    <row r="14" ht="15.0" customHeight="1">
      <c r="A14" s="38" t="s">
        <v>245</v>
      </c>
      <c r="B14" s="21">
        <v>0.4</v>
      </c>
      <c r="C14" s="39">
        <f>B9</f>
        <v>54.5</v>
      </c>
      <c r="D14" s="40" t="str">
        <f>B10</f>
        <v>N</v>
      </c>
      <c r="E14" s="42">
        <f>IF(D14="Y",MIN(0,MAX(-'Weights &amp; Rules'!$B$48,MIN('Weights &amp; Rules'!$B$48,(C14-50)/50*'Weights &amp; Rules'!$B$48))),MAX(-'Weights &amp; Rules'!$B$48,MIN('Weights &amp; Rules'!$B$48,(C14-50)/50*'Weights &amp; Rules'!$B$48)))</f>
        <v>0.027</v>
      </c>
      <c r="F14" s="42">
        <f t="shared" ref="F14:F16" si="1">B14*(1+E14)</f>
        <v>0.4108</v>
      </c>
      <c r="G14" s="29">
        <f t="shared" ref="G14:G16" si="2">F14/SUM($F$14:$F$16)</f>
        <v>0.3935902656</v>
      </c>
      <c r="H14" s="45">
        <f t="shared" ref="H14:H16" si="3">G14-B14</f>
        <v>-0.006409734365</v>
      </c>
      <c r="I14" s="3"/>
      <c r="J14" s="3"/>
      <c r="K14" s="3"/>
      <c r="L14" s="3"/>
      <c r="M14" s="3"/>
      <c r="N14" s="3"/>
      <c r="O14" s="3"/>
      <c r="P14" s="3"/>
      <c r="Q14" s="3"/>
      <c r="R14" s="3"/>
      <c r="S14" s="3"/>
      <c r="T14" s="3"/>
      <c r="U14" s="3"/>
      <c r="V14" s="3"/>
      <c r="W14" s="3"/>
      <c r="X14" s="3"/>
      <c r="Y14" s="3"/>
      <c r="Z14" s="3"/>
    </row>
    <row r="15" ht="15.0" customHeight="1">
      <c r="A15" s="38" t="s">
        <v>246</v>
      </c>
      <c r="B15" s="21">
        <v>0.35</v>
      </c>
      <c r="C15" s="39">
        <f>C9</f>
        <v>55.5</v>
      </c>
      <c r="D15" s="40" t="str">
        <f>C10</f>
        <v>N</v>
      </c>
      <c r="E15" s="42">
        <f>IF(D15="Y",MIN(0,MAX(-'Weights &amp; Rules'!$B$48,MIN('Weights &amp; Rules'!$B$48,(C15-50)/50*'Weights &amp; Rules'!$B$48))),MAX(-'Weights &amp; Rules'!$B$48,MIN('Weights &amp; Rules'!$B$48,(C15-50)/50*'Weights &amp; Rules'!$B$48)))</f>
        <v>0.033</v>
      </c>
      <c r="F15" s="42">
        <f t="shared" si="1"/>
        <v>0.36155</v>
      </c>
      <c r="G15" s="29">
        <f t="shared" si="2"/>
        <v>0.3464035067</v>
      </c>
      <c r="H15" s="45">
        <f t="shared" si="3"/>
        <v>-0.003596493329</v>
      </c>
      <c r="I15" s="3"/>
      <c r="J15" s="3"/>
      <c r="K15" s="3"/>
      <c r="L15" s="3"/>
      <c r="M15" s="3"/>
      <c r="N15" s="3"/>
      <c r="O15" s="3"/>
      <c r="P15" s="3"/>
      <c r="Q15" s="3"/>
      <c r="R15" s="3"/>
      <c r="S15" s="3"/>
      <c r="T15" s="3"/>
      <c r="U15" s="3"/>
      <c r="V15" s="3"/>
      <c r="W15" s="3"/>
      <c r="X15" s="3"/>
      <c r="Y15" s="3"/>
      <c r="Z15" s="3"/>
    </row>
    <row r="16" ht="15.0" customHeight="1">
      <c r="A16" s="38" t="s">
        <v>247</v>
      </c>
      <c r="B16" s="21">
        <v>0.25</v>
      </c>
      <c r="C16" s="39">
        <f>D9</f>
        <v>64.25</v>
      </c>
      <c r="D16" s="40" t="str">
        <f>D10</f>
        <v>N</v>
      </c>
      <c r="E16" s="42">
        <f>IF(D16="Y",MIN(0,MAX(-'Weights &amp; Rules'!$B$48,MIN('Weights &amp; Rules'!$B$48,(C16-50)/50*'Weights &amp; Rules'!$B$48))),MAX(-'Weights &amp; Rules'!$B$48,MIN('Weights &amp; Rules'!$B$48,(C16-50)/50*'Weights &amp; Rules'!$B$48)))</f>
        <v>0.0855</v>
      </c>
      <c r="F16" s="42">
        <f t="shared" si="1"/>
        <v>0.271375</v>
      </c>
      <c r="G16" s="29">
        <f t="shared" si="2"/>
        <v>0.2600062277</v>
      </c>
      <c r="H16" s="45">
        <f t="shared" si="3"/>
        <v>0.01000622769</v>
      </c>
      <c r="I16" s="3"/>
      <c r="J16" s="3"/>
      <c r="K16" s="3"/>
      <c r="L16" s="3"/>
      <c r="M16" s="3"/>
      <c r="N16" s="3"/>
      <c r="O16" s="3"/>
      <c r="P16" s="3"/>
      <c r="Q16" s="3"/>
      <c r="R16" s="3"/>
      <c r="S16" s="3"/>
      <c r="T16" s="3"/>
      <c r="U16" s="3"/>
      <c r="V16" s="3"/>
      <c r="W16" s="3"/>
      <c r="X16" s="3"/>
      <c r="Y16" s="3"/>
      <c r="Z16" s="3"/>
    </row>
    <row r="17" ht="15.0" customHeight="1">
      <c r="A17" s="27" t="s">
        <v>240</v>
      </c>
      <c r="B17" s="29">
        <f>SUM(B14:B16)</f>
        <v>1</v>
      </c>
      <c r="C17" s="31"/>
      <c r="D17" s="32"/>
      <c r="E17" s="32"/>
      <c r="F17" s="46"/>
      <c r="G17" s="29">
        <f>SUM(G14:G16)</f>
        <v>1</v>
      </c>
      <c r="H17" s="38" t="str">
        <f>IF(ABS(B17-1)&lt;0.001,"OK","Neutrals must sum to 100%")</f>
        <v>OK</v>
      </c>
      <c r="I17" s="3"/>
      <c r="J17" s="3"/>
      <c r="K17" s="3"/>
      <c r="L17" s="3"/>
      <c r="M17" s="3"/>
      <c r="N17" s="3"/>
      <c r="O17" s="3"/>
      <c r="P17" s="3"/>
      <c r="Q17" s="3"/>
      <c r="R17" s="3"/>
      <c r="S17" s="3"/>
      <c r="T17" s="3"/>
      <c r="U17" s="3"/>
      <c r="V17" s="3"/>
      <c r="W17" s="3"/>
      <c r="X17" s="3"/>
      <c r="Y17" s="3"/>
      <c r="Z17" s="3"/>
    </row>
    <row r="18" ht="14.2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ht="14.2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14.2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4.2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4.2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4.2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4.2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4.2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4.2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4.2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4.2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4.2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4.2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4.2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4.2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4.2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4.2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4.2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4.2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4.2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4.2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4.2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4.2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4.2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4.2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4.2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4.2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4.2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4.2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4.2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4.2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4.2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4.2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4.2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4.2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4.2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4.2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4.2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4.2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4.2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4.2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4.2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4.2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4.2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4.2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4.2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4.2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4.2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4.2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4.2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4.2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4.2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4.2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4.2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4.2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4.2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4.2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4.2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4.2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4.2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4.2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4.2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4.2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4.2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4.2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4.2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4.2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4.2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4.2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4.2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4.2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4.2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4.2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4.2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4.2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4.2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4.2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4.2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4.2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4.2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4.2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4.2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4.2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4.2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4.2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4.2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4.2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4.2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4.2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4.2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4.2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4.2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4.2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4.2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4.2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4.2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4.2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4.2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4.2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4.2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4.2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4.2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4.2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4.2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4.2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4.2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4.2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4.2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4.2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4.2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4.2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4.2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4.2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4.2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4.2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4.2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4.2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4.2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4.2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4.2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4.2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4.2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4.2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4.2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4.2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4.2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4.2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4.2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4.2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4.2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4.2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4.2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4.2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4.2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4.2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4.2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4.2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4.2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4.2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4.2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4.2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4.2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4.2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4.2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4.2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4.2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4.2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4.2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4.2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4.2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4.2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4.2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4.2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4.2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4.2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4.2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4.2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4.2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4.2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4.2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4.2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4.2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4.2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4.2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4.2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4.2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4.2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4.2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4.2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4.2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4.2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4.2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4.2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4.2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4.2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4.2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4.2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4.2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4.2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4.2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4.2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4.2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4.2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4.2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4.2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4.2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4.2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4.2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4.2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4.2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4.2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4.2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4.2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4.2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4.2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4.2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4.2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4.2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4.2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4.2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4.2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4.2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4.2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4.2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4.2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4.2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4.2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4.2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4.2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4.2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4.2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4.2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4.2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4.2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4.2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4.2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4.2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4.2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4.2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4.2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4.2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4.2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4.2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4.2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4.2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4.2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4.2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4.2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4.2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4.2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4.2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4.2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4.2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4.2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4.2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4.2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4.2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4.2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4.2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4.2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4.2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4.2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4.2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4.2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4.2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4.2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4.2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4.2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4.2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4.2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4.2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4.2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4.2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4.2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4.2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4.2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4.2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4.2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4.2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4.2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4.2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4.2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4.2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4.2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4.2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4.2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4.2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4.2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4.2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4.2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4.2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4.2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4.2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4.2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4.2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4.2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4.2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4.2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4.2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4.2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4.2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4.2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4.2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4.2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4.2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4.2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4.2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4.2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4.2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4.2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4.2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4.2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4.2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4.2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4.2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4.2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4.2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4.2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4.2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4.2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4.2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4.2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4.2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4.2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4.2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4.2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4.2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4.2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4.2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4.2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4.2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4.2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4.2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4.2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4.2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4.2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4.2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4.2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4.2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4.2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4.2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4.2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4.2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4.2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4.2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4.2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4.2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4.2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4.2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4.2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4.2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4.2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4.2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4.2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4.2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4.2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4.2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4.2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4.2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4.2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4.2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4.2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4.2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4.2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4.2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4.2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4.2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4.2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4.2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4.2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4.2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4.2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4.2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4.2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4.2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4.2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4.2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4.2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4.2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4.2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4.2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4.2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4.2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4.2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4.2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4.2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4.2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4.2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4.2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4.2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4.2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4.2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4.2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4.2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4.2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4.2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4.2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4.2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4.2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4.2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4.2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4.2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4.2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4.2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4.2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4.2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4.2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4.2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4.2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4.2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4.2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4.2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4.2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4.2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4.2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4.2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4.2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4.2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4.2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4.2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4.2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4.2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4.2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4.2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4.2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4.2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4.2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4.2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4.2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4.2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4.2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4.2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4.2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4.2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4.2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4.2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4.2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4.2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4.2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4.2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4.2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4.2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4.2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4.2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4.2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4.2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4.2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4.2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4.2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4.2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4.2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4.2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4.2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4.2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4.2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4.2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4.2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4.2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4.2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4.2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4.2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4.2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4.2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4.2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4.2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4.2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4.2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4.2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4.2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4.2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4.2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4.2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4.2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4.2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4.2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4.2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4.2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4.2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4.2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4.2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4.2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4.2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4.2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4.2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4.2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4.2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4.2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4.2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4.2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4.2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4.2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4.2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4.2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4.2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4.2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4.2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4.2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4.2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4.2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4.2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4.2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4.2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4.2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4.2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4.2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4.2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4.2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4.2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4.2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4.2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4.2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4.2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4.2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4.2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4.2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4.2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4.2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4.2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4.2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4.2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4.2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4.2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4.2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4.2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4.2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4.2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4.2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4.2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4.2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4.2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4.2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4.2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4.2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4.2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4.2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4.2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4.2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4.2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4.2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4.2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4.2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4.2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4.2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4.2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4.2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4.2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4.2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4.2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4.2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4.2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4.2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4.2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4.2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4.2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4.2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4.2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4.2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4.2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4.2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4.2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4.2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4.2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4.2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4.2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4.2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4.2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4.2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4.2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4.2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4.2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4.2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4.2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4.2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4.2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4.2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4.2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4.2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4.2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4.2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4.2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4.2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4.2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4.2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4.2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4.2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4.2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4.2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4.2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4.2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4.2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4.2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4.2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4.2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4.2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4.2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4.2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4.2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4.2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4.2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4.2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4.2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4.2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4.2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4.2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4.2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4.2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4.2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4.2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4.2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4.2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4.2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4.2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4.2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4.2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4.2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4.2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4.2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4.2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4.2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4.2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4.2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4.2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4.2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4.2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4.2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4.2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4.2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4.2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4.2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4.2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4.2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4.2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4.2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4.2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4.2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4.2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4.2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4.2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4.2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4.2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4.2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4.2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4.2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4.2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4.2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4.2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4.2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4.2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4.2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4.2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4.2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4.2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4.2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4.2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4.2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4.2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4.2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4.2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4.2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4.2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4.2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4.2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4.2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4.2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4.2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4.2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4.2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4.2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4.2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4.2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4.2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4.2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4.2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4.2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4.2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4.2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4.2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4.2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4.2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4.2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4.2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4.2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4.2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4.2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4.2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4.2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4.2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4.2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4.2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4.2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4.2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4.2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4.2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4.2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4.2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4.2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4.2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4.2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4.2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4.2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4.2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4.2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4.2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4.2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4.2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4.2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4.2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4.2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4.2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4.2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4.2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4.2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4.2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4.2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4.2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4.2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4.2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4.2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4.2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4.2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4.2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4.2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4.2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4.2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4.2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4.2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4.2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4.2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4.2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4.2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4.2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4.2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4.2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4.2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4.2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4.2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4.2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4.2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4.2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4.2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4.2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4.2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4.2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4.2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4.2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4.2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4.2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4.2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4.2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4.2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4.2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4.2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4.2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4.2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4.2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4.2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4.2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4.2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4.2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4.2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4.2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4.2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4.2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4.2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4.2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4.2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4.2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4.2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4.2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4.2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4.2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4.2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4.2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4.2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4.2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4.2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4.2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4.2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4.2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4.2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4.2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4.2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4.2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4.2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4.2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4.2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4.2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4.2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4.2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4.2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4.2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4.2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4.2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4.2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4.2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4.2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4.2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4.2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4.2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4.2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4.2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4.2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4.2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4.2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4.2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4.2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4.2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4.2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4.2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4.2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4.2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4.2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4.2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4.2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4.2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4.2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4.2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4.2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4.2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4.2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4.2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4.2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4.2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4.2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4.2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4.2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4.2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4.2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4.2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4.2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4.2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4.2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4.2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4.2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4.2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4.2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4.2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4.2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4.2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4.2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4.2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4.2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4.2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4.2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4.2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4.2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4.2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4.2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4.2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4.2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4.2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4.2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4.2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4.2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4.2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4.2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4.2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4.2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4.2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4.2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4.2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4.2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4.2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4.2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4.2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4.2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4.2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4.2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4.2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4.2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4.2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4.2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4.2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4.2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4.2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4.2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4.2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4.2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4.2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4.2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4.2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4.2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4.2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4.2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4.2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4.2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4.2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4.2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4.2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4.2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4.2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4.2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4.2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4.2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4.2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4.2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4.2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4.2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4.2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4.2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4.2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4.2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4.2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4.2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4.2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4.2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4.2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4.2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4.2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4.2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4.2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4.2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4.2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4.2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4.2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4.2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4.2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4.2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4.2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4.2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4.2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4.2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4.2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4.2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4.2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4.2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4.2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4.2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4.2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4.2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4.2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4.2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4.2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4.2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4.2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4.2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4.2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4.2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4.2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4.2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4.2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4.2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4.2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4.2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4.2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4.2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4.2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4.2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4.2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4.2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4.2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4.2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4.2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4.2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4.2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4.2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4.2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4.2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4.2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4.2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4.2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4.2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4.2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4.2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4.2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4.2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4.2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4.2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4.2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4.2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4.2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4.2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4.2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4.2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4.2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4.2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4.2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4.2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4.2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4.2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4.2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4.2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4.2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4.2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4.2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4.2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4.2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4.2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4.2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4.2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4.2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4.2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4.2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4.2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4.2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4.2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4.2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4.2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4.2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4.2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4.2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4.2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4.2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1.0" footer="0.0" header="0.0" left="0.75" right="0.75" top="1.0"/>
  <pageSetup orientation="portrait"/>
  <headerFooter>
    <oddFooter>&amp;C000000&amp;P</oddFooter>
  </headerFoo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0"/>
    <col customWidth="1" min="2" max="2" width="14.0"/>
    <col customWidth="1" min="3" max="3" width="12.0"/>
    <col customWidth="1" min="4" max="4" width="8.0"/>
    <col customWidth="1" min="5" max="6" width="11.0"/>
    <col customWidth="1" min="7" max="7" width="14.0"/>
    <col customWidth="1" min="8" max="8" width="11.0"/>
    <col customWidth="1" min="9" max="26" width="8.71"/>
  </cols>
  <sheetData>
    <row r="1" ht="17.25" customHeight="1">
      <c r="A1" s="6" t="s">
        <v>255</v>
      </c>
      <c r="B1" s="1"/>
      <c r="C1" s="1"/>
      <c r="D1" s="1"/>
      <c r="E1" s="1"/>
      <c r="F1" s="1"/>
      <c r="G1" s="1"/>
      <c r="H1" s="1"/>
      <c r="I1" s="3"/>
      <c r="J1" s="3"/>
      <c r="K1" s="3"/>
      <c r="L1" s="3"/>
      <c r="M1" s="3"/>
      <c r="N1" s="3"/>
      <c r="O1" s="3"/>
      <c r="P1" s="3"/>
      <c r="Q1" s="3"/>
      <c r="R1" s="3"/>
      <c r="S1" s="3"/>
      <c r="T1" s="3"/>
      <c r="U1" s="3"/>
      <c r="V1" s="3"/>
      <c r="W1" s="3"/>
      <c r="X1" s="3"/>
      <c r="Y1" s="3"/>
      <c r="Z1" s="3"/>
    </row>
    <row r="2" ht="15.0" customHeight="1">
      <c r="A2" s="33" t="s">
        <v>256</v>
      </c>
      <c r="B2" s="1"/>
      <c r="C2" s="1"/>
      <c r="D2" s="1"/>
      <c r="E2" s="1"/>
      <c r="F2" s="1"/>
      <c r="G2" s="1"/>
      <c r="H2" s="1"/>
      <c r="I2" s="3"/>
      <c r="J2" s="3"/>
      <c r="K2" s="3"/>
      <c r="L2" s="3"/>
      <c r="M2" s="3"/>
      <c r="N2" s="3"/>
      <c r="O2" s="3"/>
      <c r="P2" s="3"/>
      <c r="Q2" s="3"/>
      <c r="R2" s="3"/>
      <c r="S2" s="3"/>
      <c r="T2" s="3"/>
      <c r="U2" s="3"/>
      <c r="V2" s="3"/>
      <c r="W2" s="3"/>
      <c r="X2" s="3"/>
      <c r="Y2" s="3"/>
      <c r="Z2" s="3"/>
    </row>
    <row r="3" ht="13.5" customHeight="1">
      <c r="A3" s="12"/>
      <c r="B3" s="12"/>
      <c r="C3" s="12"/>
      <c r="D3" s="12"/>
      <c r="E3" s="1"/>
      <c r="F3" s="1"/>
      <c r="G3" s="1"/>
      <c r="H3" s="1"/>
      <c r="I3" s="3"/>
      <c r="J3" s="3"/>
      <c r="K3" s="3"/>
      <c r="L3" s="3"/>
      <c r="M3" s="3"/>
      <c r="N3" s="3"/>
      <c r="O3" s="3"/>
      <c r="P3" s="3"/>
      <c r="Q3" s="3"/>
      <c r="R3" s="3"/>
      <c r="S3" s="3"/>
      <c r="T3" s="3"/>
      <c r="U3" s="3"/>
      <c r="V3" s="3"/>
      <c r="W3" s="3"/>
      <c r="X3" s="3"/>
      <c r="Y3" s="3"/>
      <c r="Z3" s="3"/>
    </row>
    <row r="4" ht="15.0" customHeight="1">
      <c r="A4" s="16" t="s">
        <v>12</v>
      </c>
      <c r="B4" s="16" t="s">
        <v>257</v>
      </c>
      <c r="C4" s="16" t="s">
        <v>258</v>
      </c>
      <c r="D4" s="16" t="s">
        <v>127</v>
      </c>
      <c r="E4" s="18"/>
      <c r="F4" s="1"/>
      <c r="G4" s="1"/>
      <c r="H4" s="1"/>
      <c r="I4" s="3"/>
      <c r="J4" s="3"/>
      <c r="K4" s="3"/>
      <c r="L4" s="3"/>
      <c r="M4" s="3"/>
      <c r="N4" s="3"/>
      <c r="O4" s="3"/>
      <c r="P4" s="3"/>
      <c r="Q4" s="3"/>
      <c r="R4" s="3"/>
      <c r="S4" s="3"/>
      <c r="T4" s="3"/>
      <c r="U4" s="3"/>
      <c r="V4" s="3"/>
      <c r="W4" s="3"/>
      <c r="X4" s="3"/>
      <c r="Y4" s="3"/>
      <c r="Z4" s="3"/>
    </row>
    <row r="5" ht="23.25" customHeight="1">
      <c r="A5" s="20" t="s">
        <v>141</v>
      </c>
      <c r="B5" s="34">
        <v>40.0</v>
      </c>
      <c r="C5" s="34">
        <v>60.0</v>
      </c>
      <c r="D5" s="35"/>
      <c r="E5" s="18"/>
      <c r="F5" s="1"/>
      <c r="G5" s="1"/>
      <c r="H5" s="1"/>
      <c r="I5" s="3"/>
      <c r="J5" s="3"/>
      <c r="K5" s="3"/>
      <c r="L5" s="3"/>
      <c r="M5" s="3"/>
      <c r="N5" s="3"/>
      <c r="O5" s="3"/>
      <c r="P5" s="3"/>
      <c r="Q5" s="3"/>
      <c r="R5" s="3"/>
      <c r="S5" s="3"/>
      <c r="T5" s="3"/>
      <c r="U5" s="3"/>
      <c r="V5" s="3"/>
      <c r="W5" s="3"/>
      <c r="X5" s="3"/>
      <c r="Y5" s="3"/>
      <c r="Z5" s="3"/>
    </row>
    <row r="6" ht="15.0" customHeight="1">
      <c r="A6" s="20" t="s">
        <v>144</v>
      </c>
      <c r="B6" s="34">
        <v>65.0</v>
      </c>
      <c r="C6" s="34">
        <v>55.0</v>
      </c>
      <c r="D6" s="35"/>
      <c r="E6" s="18"/>
      <c r="F6" s="1"/>
      <c r="G6" s="1"/>
      <c r="H6" s="1"/>
      <c r="I6" s="3"/>
      <c r="J6" s="3"/>
      <c r="K6" s="3"/>
      <c r="L6" s="3"/>
      <c r="M6" s="3"/>
      <c r="N6" s="3"/>
      <c r="O6" s="3"/>
      <c r="P6" s="3"/>
      <c r="Q6" s="3"/>
      <c r="R6" s="3"/>
      <c r="S6" s="3"/>
      <c r="T6" s="3"/>
      <c r="U6" s="3"/>
      <c r="V6" s="3"/>
      <c r="W6" s="3"/>
      <c r="X6" s="3"/>
      <c r="Y6" s="3"/>
      <c r="Z6" s="3"/>
    </row>
    <row r="7" ht="15.0" customHeight="1">
      <c r="A7" s="20" t="s">
        <v>147</v>
      </c>
      <c r="B7" s="34">
        <v>50.0</v>
      </c>
      <c r="C7" s="34">
        <v>55.0</v>
      </c>
      <c r="D7" s="35"/>
      <c r="E7" s="18"/>
      <c r="F7" s="1"/>
      <c r="G7" s="1"/>
      <c r="H7" s="1"/>
      <c r="I7" s="3"/>
      <c r="J7" s="3"/>
      <c r="K7" s="3"/>
      <c r="L7" s="3"/>
      <c r="M7" s="3"/>
      <c r="N7" s="3"/>
      <c r="O7" s="3"/>
      <c r="P7" s="3"/>
      <c r="Q7" s="3"/>
      <c r="R7" s="3"/>
      <c r="S7" s="3"/>
      <c r="T7" s="3"/>
      <c r="U7" s="3"/>
      <c r="V7" s="3"/>
      <c r="W7" s="3"/>
      <c r="X7" s="3"/>
      <c r="Y7" s="3"/>
      <c r="Z7" s="3"/>
    </row>
    <row r="8" ht="15.0" customHeight="1">
      <c r="A8" s="27" t="s">
        <v>146</v>
      </c>
      <c r="B8" s="36">
        <f>SUMPRODUCT('Weights &amp; Rules'!$B$31:$B$33,B5:B7)</f>
        <v>51.25</v>
      </c>
      <c r="C8" s="36">
        <f>SUMPRODUCT('Weights &amp; Rules'!$B$31:$B$33,C5:C7)</f>
        <v>57</v>
      </c>
      <c r="D8" s="35"/>
      <c r="E8" s="18"/>
      <c r="F8" s="1"/>
      <c r="G8" s="1"/>
      <c r="H8" s="1"/>
      <c r="I8" s="3"/>
      <c r="J8" s="3"/>
      <c r="K8" s="3"/>
      <c r="L8" s="3"/>
      <c r="M8" s="3"/>
      <c r="N8" s="3"/>
      <c r="O8" s="3"/>
      <c r="P8" s="3"/>
      <c r="Q8" s="3"/>
      <c r="R8" s="3"/>
      <c r="S8" s="3"/>
      <c r="T8" s="3"/>
      <c r="U8" s="3"/>
      <c r="V8" s="3"/>
      <c r="W8" s="3"/>
      <c r="X8" s="3"/>
      <c r="Y8" s="3"/>
      <c r="Z8" s="3"/>
    </row>
    <row r="9" ht="15.0" customHeight="1">
      <c r="A9" s="27" t="s">
        <v>165</v>
      </c>
      <c r="B9" s="37" t="s">
        <v>167</v>
      </c>
      <c r="C9" s="37" t="s">
        <v>167</v>
      </c>
      <c r="D9" s="35"/>
      <c r="E9" s="18"/>
      <c r="F9" s="1"/>
      <c r="G9" s="1"/>
      <c r="H9" s="1"/>
      <c r="I9" s="3"/>
      <c r="J9" s="3"/>
      <c r="K9" s="3"/>
      <c r="L9" s="3"/>
      <c r="M9" s="3"/>
      <c r="N9" s="3"/>
      <c r="O9" s="3"/>
      <c r="P9" s="3"/>
      <c r="Q9" s="3"/>
      <c r="R9" s="3"/>
      <c r="S9" s="3"/>
      <c r="T9" s="3"/>
      <c r="U9" s="3"/>
      <c r="V9" s="3"/>
      <c r="W9" s="3"/>
      <c r="X9" s="3"/>
      <c r="Y9" s="3"/>
      <c r="Z9" s="3"/>
    </row>
    <row r="10" ht="13.5" customHeight="1">
      <c r="A10" s="32"/>
      <c r="B10" s="32"/>
      <c r="C10" s="32"/>
      <c r="D10" s="32"/>
      <c r="E10" s="1"/>
      <c r="F10" s="1"/>
      <c r="G10" s="1"/>
      <c r="H10" s="1"/>
      <c r="I10" s="3"/>
      <c r="J10" s="3"/>
      <c r="K10" s="3"/>
      <c r="L10" s="3"/>
      <c r="M10" s="3"/>
      <c r="N10" s="3"/>
      <c r="O10" s="3"/>
      <c r="P10" s="3"/>
      <c r="Q10" s="3"/>
      <c r="R10" s="3"/>
      <c r="S10" s="3"/>
      <c r="T10" s="3"/>
      <c r="U10" s="3"/>
      <c r="V10" s="3"/>
      <c r="W10" s="3"/>
      <c r="X10" s="3"/>
      <c r="Y10" s="3"/>
      <c r="Z10" s="3"/>
    </row>
    <row r="11" ht="15.0" customHeight="1">
      <c r="A11" s="9" t="s">
        <v>259</v>
      </c>
      <c r="B11" s="12"/>
      <c r="C11" s="12"/>
      <c r="D11" s="12"/>
      <c r="E11" s="12"/>
      <c r="F11" s="12"/>
      <c r="G11" s="12"/>
      <c r="H11" s="12"/>
      <c r="I11" s="3"/>
      <c r="J11" s="3"/>
      <c r="K11" s="3"/>
      <c r="L11" s="3"/>
      <c r="M11" s="3"/>
      <c r="N11" s="3"/>
      <c r="O11" s="3"/>
      <c r="P11" s="3"/>
      <c r="Q11" s="3"/>
      <c r="R11" s="3"/>
      <c r="S11" s="3"/>
      <c r="T11" s="3"/>
      <c r="U11" s="3"/>
      <c r="V11" s="3"/>
      <c r="W11" s="3"/>
      <c r="X11" s="3"/>
      <c r="Y11" s="3"/>
      <c r="Z11" s="3"/>
    </row>
    <row r="12" ht="23.25" customHeight="1">
      <c r="A12" s="16" t="s">
        <v>184</v>
      </c>
      <c r="B12" s="16" t="s">
        <v>185</v>
      </c>
      <c r="C12" s="16" t="s">
        <v>186</v>
      </c>
      <c r="D12" s="16" t="s">
        <v>187</v>
      </c>
      <c r="E12" s="16" t="s">
        <v>188</v>
      </c>
      <c r="F12" s="16" t="s">
        <v>189</v>
      </c>
      <c r="G12" s="16" t="s">
        <v>190</v>
      </c>
      <c r="H12" s="16" t="s">
        <v>191</v>
      </c>
      <c r="I12" s="3"/>
      <c r="J12" s="3"/>
      <c r="K12" s="3"/>
      <c r="L12" s="3"/>
      <c r="M12" s="3"/>
      <c r="N12" s="3"/>
      <c r="O12" s="3"/>
      <c r="P12" s="3"/>
      <c r="Q12" s="3"/>
      <c r="R12" s="3"/>
      <c r="S12" s="3"/>
      <c r="T12" s="3"/>
      <c r="U12" s="3"/>
      <c r="V12" s="3"/>
      <c r="W12" s="3"/>
      <c r="X12" s="3"/>
      <c r="Y12" s="3"/>
      <c r="Z12" s="3"/>
    </row>
    <row r="13" ht="15.0" customHeight="1">
      <c r="A13" s="38" t="s">
        <v>257</v>
      </c>
      <c r="B13" s="21">
        <v>0.75</v>
      </c>
      <c r="C13" s="39">
        <f>B8</f>
        <v>51.25</v>
      </c>
      <c r="D13" s="40" t="str">
        <f>B9</f>
        <v>N</v>
      </c>
      <c r="E13" s="42">
        <f>IF(D13="Y",MIN(0,MAX(-'Weights &amp; Rules'!$B$49,MIN('Weights &amp; Rules'!$B$49,(C13-50)/50*'Weights &amp; Rules'!$B$49))),MAX(-'Weights &amp; Rules'!$B$49,MIN('Weights &amp; Rules'!$B$49,(C13-50)/50*'Weights &amp; Rules'!$B$49)))</f>
        <v>0.00625</v>
      </c>
      <c r="F13" s="42">
        <f t="shared" ref="F13:F14" si="1">B13*(1+E13)</f>
        <v>0.7546875</v>
      </c>
      <c r="G13" s="29">
        <f t="shared" ref="G13:G14" si="2">F13/SUM($F$13:$F$14)</f>
        <v>0.7446808511</v>
      </c>
      <c r="H13" s="45">
        <f t="shared" ref="H13:H14" si="3">G13-B13</f>
        <v>-0.005319148936</v>
      </c>
      <c r="I13" s="3"/>
      <c r="J13" s="3"/>
      <c r="K13" s="3"/>
      <c r="L13" s="3"/>
      <c r="M13" s="3"/>
      <c r="N13" s="3"/>
      <c r="O13" s="3"/>
      <c r="P13" s="3"/>
      <c r="Q13" s="3"/>
      <c r="R13" s="3"/>
      <c r="S13" s="3"/>
      <c r="T13" s="3"/>
      <c r="U13" s="3"/>
      <c r="V13" s="3"/>
      <c r="W13" s="3"/>
      <c r="X13" s="3"/>
      <c r="Y13" s="3"/>
      <c r="Z13" s="3"/>
    </row>
    <row r="14" ht="15.0" customHeight="1">
      <c r="A14" s="38" t="s">
        <v>258</v>
      </c>
      <c r="B14" s="21">
        <v>0.25</v>
      </c>
      <c r="C14" s="39">
        <f>C8</f>
        <v>57</v>
      </c>
      <c r="D14" s="40" t="str">
        <f>C9</f>
        <v>N</v>
      </c>
      <c r="E14" s="42">
        <f>IF(D14="Y",MIN(0,MAX(-'Weights &amp; Rules'!$B$49,MIN('Weights &amp; Rules'!$B$49,(C14-50)/50*'Weights &amp; Rules'!$B$49))),MAX(-'Weights &amp; Rules'!$B$49,MIN('Weights &amp; Rules'!$B$49,(C14-50)/50*'Weights &amp; Rules'!$B$49)))</f>
        <v>0.035</v>
      </c>
      <c r="F14" s="42">
        <f t="shared" si="1"/>
        <v>0.25875</v>
      </c>
      <c r="G14" s="29">
        <f t="shared" si="2"/>
        <v>0.2553191489</v>
      </c>
      <c r="H14" s="45">
        <f t="shared" si="3"/>
        <v>0.005319148936</v>
      </c>
      <c r="I14" s="3"/>
      <c r="J14" s="3"/>
      <c r="K14" s="3"/>
      <c r="L14" s="3"/>
      <c r="M14" s="3"/>
      <c r="N14" s="3"/>
      <c r="O14" s="3"/>
      <c r="P14" s="3"/>
      <c r="Q14" s="3"/>
      <c r="R14" s="3"/>
      <c r="S14" s="3"/>
      <c r="T14" s="3"/>
      <c r="U14" s="3"/>
      <c r="V14" s="3"/>
      <c r="W14" s="3"/>
      <c r="X14" s="3"/>
      <c r="Y14" s="3"/>
      <c r="Z14" s="3"/>
    </row>
    <row r="15" ht="15.0" customHeight="1">
      <c r="A15" s="27" t="s">
        <v>240</v>
      </c>
      <c r="B15" s="29">
        <f>SUM(B13:B14)</f>
        <v>1</v>
      </c>
      <c r="C15" s="31"/>
      <c r="D15" s="32"/>
      <c r="E15" s="32"/>
      <c r="F15" s="46"/>
      <c r="G15" s="29">
        <f>SUM(G13:G14)</f>
        <v>1</v>
      </c>
      <c r="H15" s="38" t="str">
        <f>IF(ABS(B15-1)&lt;0.001,"OK","Neutrals must sum to 100%")</f>
        <v>OK</v>
      </c>
      <c r="I15" s="3"/>
      <c r="J15" s="3"/>
      <c r="K15" s="3"/>
      <c r="L15" s="3"/>
      <c r="M15" s="3"/>
      <c r="N15" s="3"/>
      <c r="O15" s="3"/>
      <c r="P15" s="3"/>
      <c r="Q15" s="3"/>
      <c r="R15" s="3"/>
      <c r="S15" s="3"/>
      <c r="T15" s="3"/>
      <c r="U15" s="3"/>
      <c r="V15" s="3"/>
      <c r="W15" s="3"/>
      <c r="X15" s="3"/>
      <c r="Y15" s="3"/>
      <c r="Z15" s="3"/>
    </row>
    <row r="16" ht="14.25"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ht="14.2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ht="14.2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ht="14.2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14.2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4.2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4.2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4.2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4.2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4.2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4.2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4.2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4.2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4.2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4.2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4.2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4.2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4.2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4.2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4.2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4.2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4.2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4.2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4.2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4.2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4.2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4.2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4.2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4.2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4.2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4.2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4.2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4.2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4.2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4.2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4.2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4.2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4.2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4.2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4.2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4.2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4.2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4.2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4.2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4.2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4.2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4.2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4.2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4.2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4.2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4.2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4.2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4.2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4.2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4.2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4.2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4.2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4.2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4.2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4.2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4.2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4.2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4.2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4.2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4.2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4.2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4.2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4.2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4.2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4.2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4.2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4.2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4.2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4.2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4.2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4.2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4.2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4.2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4.2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4.2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4.2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4.2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4.2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4.2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4.2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4.2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4.2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4.2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4.2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4.2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4.2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4.2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4.2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4.2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4.2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4.2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4.2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4.2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4.2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4.2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4.2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4.2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4.2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4.2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4.2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4.2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4.2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4.2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4.2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4.2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4.2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4.2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4.2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4.2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4.2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4.2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4.2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4.2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4.2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4.2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4.2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4.2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4.2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4.2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4.2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4.2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4.2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4.2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4.2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4.2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4.2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4.2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4.2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4.2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4.2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4.2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4.2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4.2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4.2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4.2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4.2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4.2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4.2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4.2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4.2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4.2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4.2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4.2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4.2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4.2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4.2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4.2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4.2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4.2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4.2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4.2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4.2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4.2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4.2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4.2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4.2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4.2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4.2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4.2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4.2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4.2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4.2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4.2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4.2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4.2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4.2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4.2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4.2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4.2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4.2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4.2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4.2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4.2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4.2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4.2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4.2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4.2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4.2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4.2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4.2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4.2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4.2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4.2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4.2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4.2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4.2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4.2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4.2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4.2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4.2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4.2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4.2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4.2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4.2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4.2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4.2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4.2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4.2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4.2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4.2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4.2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4.2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4.2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4.2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4.2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4.2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4.2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4.2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4.2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4.2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4.2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4.2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4.2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4.2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4.2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4.2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4.2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4.2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4.2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4.2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4.2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4.2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4.2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4.2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4.2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4.2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4.2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4.2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4.2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4.2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4.2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4.2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4.2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4.2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4.2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4.2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4.2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4.2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4.2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4.2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4.2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4.2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4.2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4.2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4.2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4.2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4.2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4.2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4.2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4.2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4.2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4.2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4.2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4.2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4.2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4.2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4.2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4.2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4.2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4.2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4.2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4.2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4.2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4.2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4.2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4.2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4.2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4.2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4.2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4.2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4.2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4.2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4.2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4.2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4.2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4.2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4.2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4.2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4.2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4.2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4.2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4.2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4.2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4.2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4.2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4.2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4.2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4.2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4.2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4.2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4.2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4.2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4.2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4.2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4.2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4.2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4.2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4.2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4.2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4.2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4.2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4.2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4.2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4.2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4.2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4.2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4.2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4.2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4.2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4.2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4.2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4.2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4.2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4.2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4.2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4.2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4.2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4.2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4.2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4.2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4.2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4.2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4.2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4.2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4.2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4.2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4.2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4.2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4.2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4.2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4.2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4.2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4.2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4.2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4.2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4.2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4.2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4.2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4.2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4.2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4.2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4.2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4.2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4.2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4.2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4.2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4.2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4.2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4.2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4.2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4.2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4.2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4.2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4.2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4.2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4.2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4.2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4.2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4.2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4.2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4.2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4.2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4.2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4.2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4.2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4.2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4.2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4.2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4.2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4.2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4.2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4.2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4.2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4.2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4.2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4.2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4.2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4.2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4.2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4.2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4.2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4.2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4.2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4.2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4.2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4.2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4.2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4.2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4.2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4.2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4.2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4.2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4.2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4.2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4.2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4.2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4.2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4.2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4.2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4.2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4.2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4.2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4.2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4.2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4.2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4.2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4.2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4.2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4.2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4.2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4.2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4.2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4.2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4.2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4.2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4.2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4.2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4.2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4.2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4.2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4.2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4.2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4.2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4.2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4.2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4.2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4.2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4.2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4.2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4.2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4.2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4.2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4.2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4.2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4.2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4.2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4.2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4.2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4.2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4.2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4.2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4.2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4.2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4.2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4.2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4.2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4.2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4.2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4.2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4.2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4.2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4.2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4.2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4.2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4.2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4.2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4.2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4.2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4.2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4.2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4.2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4.2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4.2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4.2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4.2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4.2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4.2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4.2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4.2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4.2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4.2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4.2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4.2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4.2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4.2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4.2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4.2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4.2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4.2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4.2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4.2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4.2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4.2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4.2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4.2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4.2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4.2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4.2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4.2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4.2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4.2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4.2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4.2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4.2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4.2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4.2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4.2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4.2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4.2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4.2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4.2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4.2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4.2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4.2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4.2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4.2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4.2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4.2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4.2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4.2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4.2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4.2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4.2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4.2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4.2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4.2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4.2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4.2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4.2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4.2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4.2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4.2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4.2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4.2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4.2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4.2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4.2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4.2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4.2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4.2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4.2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4.2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4.2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4.2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4.2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4.2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4.2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4.2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4.2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4.2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4.2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4.2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4.2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4.2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4.2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4.2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4.2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4.2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4.2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4.2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4.2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4.2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4.2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4.2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4.2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4.2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4.2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4.2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4.2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4.2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4.2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4.2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4.2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4.2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4.2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4.2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4.2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4.2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4.2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4.2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4.2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4.2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4.2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4.2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4.2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4.2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4.2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4.2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4.2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4.2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4.2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4.2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4.2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4.2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4.2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4.2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4.2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4.2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4.2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4.2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4.2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4.2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4.2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4.2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4.2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4.2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4.2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4.2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4.2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4.2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4.2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4.2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4.2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4.2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4.2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4.2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4.2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4.2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4.2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4.2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4.2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4.2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4.2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4.2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4.2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4.2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4.2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4.2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4.2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4.2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4.2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4.2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4.2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4.2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4.2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4.2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4.2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4.2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4.2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4.2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4.2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4.2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4.2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4.2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4.2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4.2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4.2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4.2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4.2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4.2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4.2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4.2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4.2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4.2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4.2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4.2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4.2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4.2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4.2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4.2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4.2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4.2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4.2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4.2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4.2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4.2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4.2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4.2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4.2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4.2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4.2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4.2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4.2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4.2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4.2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4.2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4.2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4.2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4.2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4.2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4.2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4.2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4.2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4.2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4.2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4.2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4.2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4.2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4.2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4.2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4.2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4.2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4.2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4.2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4.2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4.2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4.2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4.2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4.2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4.2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4.2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4.2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4.2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4.2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4.2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4.2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4.2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4.2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4.2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4.2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4.2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4.2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4.2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4.2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4.2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4.2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4.2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4.2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4.2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4.2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4.2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4.2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4.2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4.2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4.2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4.2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4.2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4.2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4.2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4.2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4.2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4.2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4.2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4.2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4.2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4.2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4.2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4.2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4.2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4.2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4.2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4.2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4.2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4.2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4.2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4.2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4.2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4.2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4.2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4.2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4.2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4.2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4.2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4.2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4.2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4.2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4.2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4.2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4.2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4.2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4.2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4.2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4.2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4.2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4.2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4.2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4.2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4.2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4.2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4.2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4.2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4.2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4.2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4.2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4.2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4.2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4.2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4.2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4.2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4.2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4.2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4.2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4.2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4.2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4.2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4.2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4.2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4.2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4.2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4.2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4.2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4.2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4.2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4.2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4.2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4.2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4.2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4.2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4.2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4.2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4.2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4.2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4.2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4.2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4.2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4.2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4.2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4.2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4.2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4.2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4.2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4.2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4.2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4.2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4.2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4.2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4.2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4.2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4.2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4.2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4.2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4.2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4.2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4.2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4.2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4.2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4.2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4.2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4.2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4.2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4.2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4.2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4.2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4.2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4.2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4.2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4.2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4.2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4.2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4.2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4.2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4.2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4.2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4.2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4.2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4.2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4.2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4.2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4.2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4.2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4.2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4.2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4.2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4.2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4.2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4.2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4.2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4.2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4.2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4.2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4.2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4.2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4.2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4.2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4.2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4.2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4.2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4.2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4.2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4.2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4.2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4.2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4.2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4.2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4.2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4.2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4.2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4.2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4.2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4.2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4.2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4.2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4.2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4.2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4.2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4.2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4.2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4.2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4.2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4.2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4.2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4.2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4.2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4.2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4.2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4.2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4.2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4.2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4.2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4.2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4.2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4.2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4.2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4.2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4.2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4.2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4.2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4.2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4.2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4.2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4.2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4.2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4.2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4.2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4.2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4.2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4.2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4.2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4.2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4.2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4.2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4.2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4.2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4.2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4.2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4.2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4.2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4.2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4.2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4.2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4.2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4.2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4.2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4.2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4.2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4.2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4.2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4.2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4.2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4.2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4.2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4.2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4.2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4.2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4.2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4.2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4.2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4.2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4.2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4.2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4.2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4.2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4.2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4.2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4.2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4.2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4.2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4.2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4.2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4.2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4.2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4.2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4.2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4.2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4.2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4.2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4.2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4.2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4.2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4.2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4.2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4.2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4.2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4.2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4.2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4.2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4.2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4.2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4.2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4.2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4.2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4.2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4.2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4.2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4.2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4.2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4.2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4.2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4.2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4.2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1.0" footer="0.0" header="0.0" left="0.75" right="0.75" top="1.0"/>
  <pageSetup orientation="portrait"/>
  <headerFooter>
    <oddFooter>&amp;C000000&amp;P</oddFooter>
  </headerFoo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0"/>
    <col customWidth="1" min="2" max="3" width="14.0"/>
    <col customWidth="1" min="4" max="5" width="13.0"/>
    <col customWidth="1" min="6" max="6" width="11.0"/>
    <col customWidth="1" min="7" max="7" width="10.0"/>
    <col customWidth="1" min="8" max="8" width="12.0"/>
    <col customWidth="1" min="9" max="26" width="8.71"/>
  </cols>
  <sheetData>
    <row r="1" ht="17.25" customHeight="1">
      <c r="A1" s="6" t="s">
        <v>260</v>
      </c>
      <c r="B1" s="1"/>
      <c r="C1" s="1"/>
      <c r="D1" s="1"/>
      <c r="E1" s="1"/>
      <c r="F1" s="1"/>
      <c r="G1" s="1"/>
      <c r="H1" s="1"/>
      <c r="I1" s="3"/>
      <c r="J1" s="3"/>
      <c r="K1" s="3"/>
      <c r="L1" s="3"/>
      <c r="M1" s="3"/>
      <c r="N1" s="3"/>
      <c r="O1" s="3"/>
      <c r="P1" s="3"/>
      <c r="Q1" s="3"/>
      <c r="R1" s="3"/>
      <c r="S1" s="3"/>
      <c r="T1" s="3"/>
      <c r="U1" s="3"/>
      <c r="V1" s="3"/>
      <c r="W1" s="3"/>
      <c r="X1" s="3"/>
      <c r="Y1" s="3"/>
      <c r="Z1" s="3"/>
    </row>
    <row r="2" ht="74.25" customHeight="1">
      <c r="A2" s="47" t="s">
        <v>261</v>
      </c>
      <c r="B2" s="1"/>
      <c r="C2" s="1"/>
      <c r="D2" s="1"/>
      <c r="E2" s="1"/>
      <c r="F2" s="1"/>
      <c r="G2" s="1"/>
      <c r="H2" s="1"/>
      <c r="I2" s="3"/>
      <c r="J2" s="3"/>
      <c r="K2" s="3"/>
      <c r="L2" s="3"/>
      <c r="M2" s="3"/>
      <c r="N2" s="3"/>
      <c r="O2" s="3"/>
      <c r="P2" s="3"/>
      <c r="Q2" s="3"/>
      <c r="R2" s="3"/>
      <c r="S2" s="3"/>
      <c r="T2" s="3"/>
      <c r="U2" s="3"/>
      <c r="V2" s="3"/>
      <c r="W2" s="3"/>
      <c r="X2" s="3"/>
      <c r="Y2" s="3"/>
      <c r="Z2" s="3"/>
    </row>
    <row r="3" ht="13.5" customHeight="1">
      <c r="A3" s="12"/>
      <c r="B3" s="12"/>
      <c r="C3" s="12"/>
      <c r="D3" s="12"/>
      <c r="E3" s="12"/>
      <c r="F3" s="12"/>
      <c r="G3" s="12"/>
      <c r="H3" s="12"/>
      <c r="I3" s="3"/>
      <c r="J3" s="3"/>
      <c r="K3" s="3"/>
      <c r="L3" s="3"/>
      <c r="M3" s="3"/>
      <c r="N3" s="3"/>
      <c r="O3" s="3"/>
      <c r="P3" s="3"/>
      <c r="Q3" s="3"/>
      <c r="R3" s="3"/>
      <c r="S3" s="3"/>
      <c r="T3" s="3"/>
      <c r="U3" s="3"/>
      <c r="V3" s="3"/>
      <c r="W3" s="3"/>
      <c r="X3" s="3"/>
      <c r="Y3" s="3"/>
      <c r="Z3" s="3"/>
    </row>
    <row r="4" ht="23.25" customHeight="1">
      <c r="A4" s="16" t="s">
        <v>262</v>
      </c>
      <c r="B4" s="16" t="s">
        <v>263</v>
      </c>
      <c r="C4" s="16" t="s">
        <v>264</v>
      </c>
      <c r="D4" s="16" t="s">
        <v>265</v>
      </c>
      <c r="E4" s="16" t="s">
        <v>266</v>
      </c>
      <c r="F4" s="16" t="s">
        <v>267</v>
      </c>
      <c r="G4" s="16" t="s">
        <v>268</v>
      </c>
      <c r="H4" s="16" t="s">
        <v>269</v>
      </c>
      <c r="I4" s="3"/>
      <c r="J4" s="3"/>
      <c r="K4" s="3"/>
      <c r="L4" s="3"/>
      <c r="M4" s="3"/>
      <c r="N4" s="3"/>
      <c r="O4" s="3"/>
      <c r="P4" s="3"/>
      <c r="Q4" s="3"/>
      <c r="R4" s="3"/>
      <c r="S4" s="3"/>
      <c r="T4" s="3"/>
      <c r="U4" s="3"/>
      <c r="V4" s="3"/>
      <c r="W4" s="3"/>
      <c r="X4" s="3"/>
      <c r="Y4" s="3"/>
      <c r="Z4" s="3"/>
    </row>
    <row r="5" ht="15.0" customHeight="1">
      <c r="A5" s="48" t="s">
        <v>270</v>
      </c>
      <c r="B5" s="34">
        <v>60.0</v>
      </c>
      <c r="C5" s="34">
        <v>55.0</v>
      </c>
      <c r="D5" s="34">
        <v>50.0</v>
      </c>
      <c r="E5" s="34">
        <v>55.0</v>
      </c>
      <c r="F5" s="49">
        <v>55.25</v>
      </c>
      <c r="G5" s="37" t="s">
        <v>167</v>
      </c>
      <c r="H5" s="50" t="str">
        <f>IF($A5="","",IF(G5="Y","VETOED",IF(F5&gt;='Weights &amp; Rules'!$B$52,"QUALIFIES","No")))</f>
        <v>No</v>
      </c>
      <c r="I5" s="3"/>
      <c r="J5" s="3"/>
      <c r="K5" s="3"/>
      <c r="L5" s="3"/>
      <c r="M5" s="3"/>
      <c r="N5" s="3"/>
      <c r="O5" s="3"/>
      <c r="P5" s="3"/>
      <c r="Q5" s="3"/>
      <c r="R5" s="3"/>
      <c r="S5" s="3"/>
      <c r="T5" s="3"/>
      <c r="U5" s="3"/>
      <c r="V5" s="3"/>
      <c r="W5" s="3"/>
      <c r="X5" s="3"/>
      <c r="Y5" s="3"/>
      <c r="Z5" s="3"/>
    </row>
    <row r="6" ht="15.0" customHeight="1">
      <c r="A6" s="51" t="s">
        <v>271</v>
      </c>
      <c r="B6" s="52">
        <v>55.0</v>
      </c>
      <c r="C6" s="52">
        <v>40.0</v>
      </c>
      <c r="D6" s="52">
        <v>35.0</v>
      </c>
      <c r="E6" s="52">
        <v>45.0</v>
      </c>
      <c r="F6" s="53">
        <v>44.0</v>
      </c>
      <c r="G6" s="54" t="s">
        <v>167</v>
      </c>
      <c r="H6" s="55" t="str">
        <f>IF($A6="","",IF(G6="Y","VETOED",IF(F6&gt;='Weights &amp; Rules'!$B$52,"QUALIFIES","No")))</f>
        <v>No</v>
      </c>
      <c r="I6" s="3"/>
      <c r="J6" s="3"/>
      <c r="K6" s="3"/>
      <c r="L6" s="3"/>
      <c r="M6" s="3"/>
      <c r="N6" s="3"/>
      <c r="O6" s="3"/>
      <c r="P6" s="3"/>
      <c r="Q6" s="3"/>
      <c r="R6" s="3"/>
      <c r="S6" s="3"/>
      <c r="T6" s="3"/>
      <c r="U6" s="3"/>
      <c r="V6" s="3"/>
      <c r="W6" s="3"/>
      <c r="X6" s="3"/>
      <c r="Y6" s="3"/>
      <c r="Z6" s="3"/>
    </row>
    <row r="7" ht="15.0" customHeight="1">
      <c r="A7" s="48" t="s">
        <v>272</v>
      </c>
      <c r="B7" s="34">
        <v>50.0</v>
      </c>
      <c r="C7" s="34">
        <v>65.0</v>
      </c>
      <c r="D7" s="34">
        <v>60.0</v>
      </c>
      <c r="E7" s="34">
        <v>55.0</v>
      </c>
      <c r="F7" s="49">
        <v>57.75</v>
      </c>
      <c r="G7" s="37" t="s">
        <v>167</v>
      </c>
      <c r="H7" s="50" t="str">
        <f>IF($A7="","",IF(G7="Y","VETOED",IF(F7&gt;='Weights &amp; Rules'!$B$52,"QUALIFIES","No")))</f>
        <v>No</v>
      </c>
      <c r="I7" s="3"/>
      <c r="J7" s="3"/>
      <c r="K7" s="3"/>
      <c r="L7" s="3"/>
      <c r="M7" s="3"/>
      <c r="N7" s="3"/>
      <c r="O7" s="3"/>
      <c r="P7" s="3"/>
      <c r="Q7" s="3"/>
      <c r="R7" s="3"/>
      <c r="S7" s="3"/>
      <c r="T7" s="3"/>
      <c r="U7" s="3"/>
      <c r="V7" s="3"/>
      <c r="W7" s="3"/>
      <c r="X7" s="3"/>
      <c r="Y7" s="3"/>
      <c r="Z7" s="3"/>
    </row>
    <row r="8" ht="15.0" customHeight="1">
      <c r="A8" s="51" t="s">
        <v>273</v>
      </c>
      <c r="B8" s="52">
        <v>45.0</v>
      </c>
      <c r="C8" s="52">
        <v>55.0</v>
      </c>
      <c r="D8" s="52">
        <v>55.0</v>
      </c>
      <c r="E8" s="52">
        <v>60.0</v>
      </c>
      <c r="F8" s="53">
        <v>52.75</v>
      </c>
      <c r="G8" s="54" t="s">
        <v>167</v>
      </c>
      <c r="H8" s="55" t="str">
        <f>IF($A8="","",IF(G8="Y","VETOED",IF(F8&gt;='Weights &amp; Rules'!$B$52,"QUALIFIES","No")))</f>
        <v>No</v>
      </c>
      <c r="I8" s="3"/>
      <c r="J8" s="3"/>
      <c r="K8" s="3"/>
      <c r="L8" s="3"/>
      <c r="M8" s="3"/>
      <c r="N8" s="3"/>
      <c r="O8" s="3"/>
      <c r="P8" s="3"/>
      <c r="Q8" s="3"/>
      <c r="R8" s="3"/>
      <c r="S8" s="3"/>
      <c r="T8" s="3"/>
      <c r="U8" s="3"/>
      <c r="V8" s="3"/>
      <c r="W8" s="3"/>
      <c r="X8" s="3"/>
      <c r="Y8" s="3"/>
      <c r="Z8" s="3"/>
    </row>
    <row r="9" ht="15.0" customHeight="1">
      <c r="A9" s="48" t="s">
        <v>274</v>
      </c>
      <c r="B9" s="34">
        <v>60.0</v>
      </c>
      <c r="C9" s="34">
        <v>75.0</v>
      </c>
      <c r="D9" s="34">
        <v>80.0</v>
      </c>
      <c r="E9" s="34">
        <v>70.0</v>
      </c>
      <c r="F9" s="49">
        <v>71.0</v>
      </c>
      <c r="G9" s="37" t="s">
        <v>167</v>
      </c>
      <c r="H9" s="50" t="str">
        <f>IF($A9="","",IF(G9="Y","VETOED",IF(F9&gt;='Weights &amp; Rules'!$B$52,"QUALIFIES","No")))</f>
        <v>QUALIFIES</v>
      </c>
      <c r="I9" s="3"/>
      <c r="J9" s="3"/>
      <c r="K9" s="3"/>
      <c r="L9" s="3"/>
      <c r="M9" s="3"/>
      <c r="N9" s="3"/>
      <c r="O9" s="3"/>
      <c r="P9" s="3"/>
      <c r="Q9" s="3"/>
      <c r="R9" s="3"/>
      <c r="S9" s="3"/>
      <c r="T9" s="3"/>
      <c r="U9" s="3"/>
      <c r="V9" s="3"/>
      <c r="W9" s="3"/>
      <c r="X9" s="3"/>
      <c r="Y9" s="3"/>
      <c r="Z9" s="3"/>
    </row>
    <row r="10" ht="15.0" customHeight="1">
      <c r="A10" s="51" t="s">
        <v>275</v>
      </c>
      <c r="B10" s="52">
        <v>55.0</v>
      </c>
      <c r="C10" s="52">
        <v>45.0</v>
      </c>
      <c r="D10" s="52">
        <v>40.0</v>
      </c>
      <c r="E10" s="52">
        <v>50.0</v>
      </c>
      <c r="F10" s="53">
        <v>47.5</v>
      </c>
      <c r="G10" s="54" t="s">
        <v>167</v>
      </c>
      <c r="H10" s="55" t="str">
        <f>IF($A10="","",IF(G10="Y","VETOED",IF(F10&gt;='Weights &amp; Rules'!$B$52,"QUALIFIES","No")))</f>
        <v>No</v>
      </c>
      <c r="I10" s="3"/>
      <c r="J10" s="3"/>
      <c r="K10" s="3"/>
      <c r="L10" s="3"/>
      <c r="M10" s="3"/>
      <c r="N10" s="3"/>
      <c r="O10" s="3"/>
      <c r="P10" s="3"/>
      <c r="Q10" s="3"/>
      <c r="R10" s="3"/>
      <c r="S10" s="3"/>
      <c r="T10" s="3"/>
      <c r="U10" s="3"/>
      <c r="V10" s="3"/>
      <c r="W10" s="3"/>
      <c r="X10" s="3"/>
      <c r="Y10" s="3"/>
      <c r="Z10" s="3"/>
    </row>
    <row r="11" ht="15.0" customHeight="1">
      <c r="A11" s="48" t="s">
        <v>276</v>
      </c>
      <c r="B11" s="34">
        <v>60.0</v>
      </c>
      <c r="C11" s="34">
        <v>50.0</v>
      </c>
      <c r="D11" s="34">
        <v>45.0</v>
      </c>
      <c r="E11" s="34">
        <v>40.0</v>
      </c>
      <c r="F11" s="49">
        <v>50.25</v>
      </c>
      <c r="G11" s="37" t="s">
        <v>167</v>
      </c>
      <c r="H11" s="50" t="str">
        <f>IF($A11="","",IF(G11="Y","VETOED",IF(F11&gt;='Weights &amp; Rules'!$B$52,"QUALIFIES","No")))</f>
        <v>No</v>
      </c>
      <c r="I11" s="3"/>
      <c r="J11" s="3"/>
      <c r="K11" s="3"/>
      <c r="L11" s="3"/>
      <c r="M11" s="3"/>
      <c r="N11" s="3"/>
      <c r="O11" s="3"/>
      <c r="P11" s="3"/>
      <c r="Q11" s="3"/>
      <c r="R11" s="3"/>
      <c r="S11" s="3"/>
      <c r="T11" s="3"/>
      <c r="U11" s="3"/>
      <c r="V11" s="3"/>
      <c r="W11" s="3"/>
      <c r="X11" s="3"/>
      <c r="Y11" s="3"/>
      <c r="Z11" s="3"/>
    </row>
    <row r="12" ht="15.0" customHeight="1">
      <c r="A12" s="51" t="s">
        <v>277</v>
      </c>
      <c r="B12" s="52">
        <v>55.0</v>
      </c>
      <c r="C12" s="52">
        <v>45.0</v>
      </c>
      <c r="D12" s="52">
        <v>50.0</v>
      </c>
      <c r="E12" s="52">
        <v>35.0</v>
      </c>
      <c r="F12" s="53">
        <v>47.75</v>
      </c>
      <c r="G12" s="54" t="s">
        <v>167</v>
      </c>
      <c r="H12" s="55" t="str">
        <f>IF($A12="","",IF(G12="Y","VETOED",IF(F12&gt;='Weights &amp; Rules'!$B$52,"QUALIFIES","No")))</f>
        <v>No</v>
      </c>
      <c r="I12" s="3"/>
      <c r="J12" s="3"/>
      <c r="K12" s="3"/>
      <c r="L12" s="3"/>
      <c r="M12" s="3"/>
      <c r="N12" s="3"/>
      <c r="O12" s="3"/>
      <c r="P12" s="3"/>
      <c r="Q12" s="3"/>
      <c r="R12" s="3"/>
      <c r="S12" s="3"/>
      <c r="T12" s="3"/>
      <c r="U12" s="3"/>
      <c r="V12" s="3"/>
      <c r="W12" s="3"/>
      <c r="X12" s="3"/>
      <c r="Y12" s="3"/>
      <c r="Z12" s="3"/>
    </row>
    <row r="13" ht="13.5" customHeight="1">
      <c r="A13" s="30"/>
      <c r="B13" s="30"/>
      <c r="C13" s="32"/>
      <c r="D13" s="32"/>
      <c r="E13" s="32"/>
      <c r="F13" s="32"/>
      <c r="G13" s="32"/>
      <c r="H13" s="32"/>
      <c r="I13" s="3"/>
      <c r="J13" s="3"/>
      <c r="K13" s="3"/>
      <c r="L13" s="3"/>
      <c r="M13" s="3"/>
      <c r="N13" s="3"/>
      <c r="O13" s="3"/>
      <c r="P13" s="3"/>
      <c r="Q13" s="3"/>
      <c r="R13" s="3"/>
      <c r="S13" s="3"/>
      <c r="T13" s="3"/>
      <c r="U13" s="3"/>
      <c r="V13" s="3"/>
      <c r="W13" s="3"/>
      <c r="X13" s="3"/>
      <c r="Y13" s="3"/>
      <c r="Z13" s="3"/>
    </row>
    <row r="14" ht="15.0" customHeight="1">
      <c r="A14" s="27" t="s">
        <v>278</v>
      </c>
      <c r="B14" s="56">
        <f>COUNTIF(H5:H12,"QUALIFIES")</f>
        <v>1</v>
      </c>
      <c r="C14" s="57" t="str">
        <f>IF(B14&gt;'Weights &amp; Rules'!$B$51,"Take only the top-scoring "&amp;'Weights &amp; Rules'!$B$51&amp;" — max sectors rule","")</f>
        <v/>
      </c>
      <c r="D14" s="1"/>
      <c r="E14" s="1"/>
      <c r="F14" s="1"/>
      <c r="G14" s="1"/>
      <c r="H14" s="1"/>
      <c r="I14" s="3"/>
      <c r="J14" s="3"/>
      <c r="K14" s="3"/>
      <c r="L14" s="3"/>
      <c r="M14" s="3"/>
      <c r="N14" s="3"/>
      <c r="O14" s="3"/>
      <c r="P14" s="3"/>
      <c r="Q14" s="3"/>
      <c r="R14" s="3"/>
      <c r="S14" s="3"/>
      <c r="T14" s="3"/>
      <c r="U14" s="3"/>
      <c r="V14" s="3"/>
      <c r="W14" s="3"/>
      <c r="X14" s="3"/>
      <c r="Y14" s="3"/>
      <c r="Z14" s="3"/>
    </row>
    <row r="15" ht="13.5" customHeight="1">
      <c r="A15" s="32"/>
      <c r="B15" s="32"/>
      <c r="C15" s="1"/>
      <c r="D15" s="1"/>
      <c r="E15" s="1"/>
      <c r="F15" s="1"/>
      <c r="G15" s="1"/>
      <c r="H15" s="1"/>
      <c r="I15" s="3"/>
      <c r="J15" s="3"/>
      <c r="K15" s="3"/>
      <c r="L15" s="3"/>
      <c r="M15" s="3"/>
      <c r="N15" s="3"/>
      <c r="O15" s="3"/>
      <c r="P15" s="3"/>
      <c r="Q15" s="3"/>
      <c r="R15" s="3"/>
      <c r="S15" s="3"/>
      <c r="T15" s="3"/>
      <c r="U15" s="3"/>
      <c r="V15" s="3"/>
      <c r="W15" s="3"/>
      <c r="X15" s="3"/>
      <c r="Y15" s="3"/>
      <c r="Z15" s="3"/>
    </row>
    <row r="16" ht="95.25" customHeight="1">
      <c r="A16" s="47" t="s">
        <v>279</v>
      </c>
      <c r="B16" s="1"/>
      <c r="C16" s="1"/>
      <c r="D16" s="1"/>
      <c r="E16" s="1"/>
      <c r="F16" s="1"/>
      <c r="G16" s="1"/>
      <c r="H16" s="1"/>
      <c r="I16" s="3"/>
      <c r="J16" s="3"/>
      <c r="K16" s="3"/>
      <c r="L16" s="3"/>
      <c r="M16" s="3"/>
      <c r="N16" s="3"/>
      <c r="O16" s="3"/>
      <c r="P16" s="3"/>
      <c r="Q16" s="3"/>
      <c r="R16" s="3"/>
      <c r="S16" s="3"/>
      <c r="T16" s="3"/>
      <c r="U16" s="3"/>
      <c r="V16" s="3"/>
      <c r="W16" s="3"/>
      <c r="X16" s="3"/>
      <c r="Y16" s="3"/>
      <c r="Z16" s="3"/>
    </row>
    <row r="17" ht="14.2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ht="14.2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ht="14.2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14.2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4.2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4.2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4.2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4.2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4.2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4.2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4.2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4.2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4.2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4.2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4.2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4.2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4.2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4.2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4.2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4.2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4.2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4.2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4.2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4.2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4.2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4.2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4.2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4.2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4.2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4.2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4.2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4.2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4.2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4.2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4.2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4.2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4.2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4.2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4.2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4.2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4.2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4.2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4.2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4.2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4.2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4.2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4.2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4.2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4.2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4.2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4.2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4.2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4.2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4.2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4.2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4.2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4.2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4.2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4.2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4.2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4.2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4.2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4.2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4.2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4.2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4.2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4.2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4.2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4.2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4.2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4.2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4.2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4.2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4.2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4.2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4.2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4.2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4.2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4.2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4.2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4.2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4.2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4.2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4.2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4.2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4.2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4.2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4.2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4.2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4.2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4.2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4.2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4.2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4.2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4.2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4.2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4.2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4.2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4.2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4.2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4.2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4.2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4.2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4.2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4.2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4.2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4.2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4.2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4.2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4.2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4.2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4.2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4.2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4.2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4.2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4.2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4.2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4.2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4.2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4.2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4.2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4.2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4.2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4.2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4.2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4.2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4.2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4.2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4.2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4.2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4.2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4.2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4.2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4.2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4.2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4.2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4.2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4.2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4.2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4.2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4.2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4.2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4.2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4.2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4.2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4.2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4.2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4.2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4.2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4.2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4.2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4.2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4.2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4.2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4.2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4.2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4.2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4.2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4.2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4.2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4.2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4.2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4.2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4.2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4.2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4.2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4.2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4.2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4.2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4.2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4.2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4.2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4.2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4.2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4.2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4.2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4.2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4.2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4.2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4.2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4.2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4.2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4.2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4.2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4.2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4.2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4.2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4.2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4.2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4.2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4.2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4.2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4.2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4.2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4.2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4.2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4.2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4.2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4.2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4.2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4.2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4.2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4.2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4.2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4.2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4.2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4.2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4.2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4.2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4.2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4.2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4.2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4.2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4.2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4.2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4.2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4.2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4.2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4.2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4.2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4.2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4.2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4.2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4.2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4.2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4.2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4.2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4.2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4.2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4.2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4.2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4.2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4.2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4.2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4.2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4.2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4.2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4.2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4.2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4.2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4.2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4.2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4.2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4.2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4.2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4.2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4.2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4.2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4.2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4.2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4.2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4.2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4.2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4.2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4.2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4.2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4.2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4.2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4.2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4.2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4.2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4.2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4.2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4.2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4.2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4.2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4.2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4.2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4.2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4.2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4.2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4.2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4.2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4.2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4.2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4.2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4.2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4.2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4.2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4.2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4.2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4.2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4.2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4.2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4.2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4.2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4.2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4.2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4.2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4.2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4.2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4.2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4.2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4.2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4.2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4.2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4.2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4.2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4.2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4.2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4.2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4.2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4.2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4.2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4.2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4.2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4.2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4.2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4.2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4.2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4.2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4.2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4.2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4.2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4.2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4.2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4.2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4.2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4.2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4.2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4.2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4.2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4.2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4.2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4.2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4.2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4.2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4.2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4.2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4.2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4.2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4.2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4.2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4.2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4.2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4.2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4.2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4.2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4.2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4.2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4.2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4.2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4.2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4.2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4.2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4.2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4.2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4.2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4.2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4.2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4.2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4.2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4.2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4.2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4.2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4.2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4.2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4.2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4.2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4.2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4.2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4.2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4.2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4.2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4.2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4.2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4.2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4.2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4.2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4.2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4.2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4.2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4.2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4.2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4.2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4.2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4.2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4.2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4.2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4.2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4.2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4.2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4.2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4.2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4.2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4.2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4.2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4.2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4.2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4.2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4.2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4.2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4.2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4.2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4.2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4.2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4.2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4.2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4.2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4.2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4.2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4.2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4.2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4.2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4.2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4.2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4.2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4.2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4.2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4.2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4.2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4.2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4.2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4.2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4.2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4.2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4.2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4.2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4.2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4.2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4.2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4.2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4.2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4.2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4.2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4.2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4.2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4.2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4.2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4.2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4.2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4.2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4.2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4.2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4.2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4.2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4.2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4.2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4.2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4.2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4.2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4.2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4.2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4.2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4.2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4.2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4.2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4.2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4.2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4.2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4.2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4.2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4.2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4.2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4.2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4.2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4.2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4.2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4.2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4.2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4.2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4.2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4.2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4.2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4.2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4.2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4.2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4.2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4.2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4.2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4.2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4.2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4.2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4.2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4.2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4.2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4.2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4.2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4.2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4.2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4.2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4.2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4.2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4.2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4.2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4.2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4.2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4.2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4.2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4.2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4.2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4.2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4.2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4.2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4.2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4.2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4.2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4.2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4.2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4.2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4.2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4.2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4.2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4.2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4.2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4.2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4.2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4.2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4.2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4.2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4.2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4.2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4.2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4.2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4.2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4.2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4.2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4.2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4.2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4.2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4.2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4.2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4.2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4.2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4.2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4.2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4.2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4.2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4.2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4.2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4.2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4.2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4.2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4.2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4.2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4.2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4.2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4.2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4.2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4.2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4.2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4.2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4.2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4.2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4.2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4.2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4.2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4.2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4.2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4.2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4.2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4.2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4.2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4.2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4.2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4.2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4.2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4.2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4.2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4.2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4.2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4.2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4.2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4.2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4.2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4.2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4.2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4.2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4.2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4.2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4.2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4.2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4.2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4.2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4.2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4.2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4.2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4.2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4.2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4.2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4.2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4.2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4.2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4.2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4.2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4.2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4.2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4.2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4.2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4.2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4.2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4.2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4.2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4.2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4.2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4.2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4.2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4.2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4.2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4.2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4.2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4.2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4.2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4.2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4.2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4.2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4.2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4.2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4.2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4.2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4.2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4.2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4.2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4.2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4.2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4.2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4.2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4.2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4.2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4.2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4.2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4.2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4.2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4.2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4.2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4.2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4.2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4.2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4.2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4.2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4.2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4.2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4.2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4.2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4.2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4.2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4.2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4.2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4.2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4.2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4.2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4.2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4.2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4.2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4.2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4.2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4.2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4.2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4.2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4.2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4.2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4.2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4.2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4.2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4.2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4.2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4.2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4.2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4.2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4.2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4.2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4.2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4.2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4.2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4.2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4.2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4.2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4.2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4.2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4.2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4.2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4.2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4.2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4.2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4.2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4.2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4.2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4.2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4.2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4.2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4.2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4.2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4.2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4.2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4.2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4.2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4.2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4.2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4.2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4.2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4.2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4.2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4.2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4.2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4.2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4.2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4.2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4.2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4.2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4.2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4.2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4.2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4.2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4.2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4.2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4.2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4.2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4.2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4.2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4.2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4.2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4.2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4.2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4.2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4.2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4.2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4.2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4.2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4.2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4.2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4.2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4.2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4.2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4.2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4.2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4.2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4.2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4.2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4.2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4.2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4.2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4.2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4.2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4.2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4.2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4.2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4.2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4.2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4.2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4.2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4.2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4.2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4.2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4.2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4.2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4.2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4.2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4.2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4.2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4.2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4.2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4.2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4.2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4.2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4.2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4.2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4.2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4.2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4.2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4.2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4.2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4.2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4.2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4.2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4.2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4.2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4.2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4.2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4.2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4.2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4.2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4.2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4.2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4.2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4.2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4.2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4.2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4.2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4.2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4.2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4.2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4.2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4.2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4.2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4.2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4.2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4.2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4.2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4.2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4.2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4.2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4.2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4.2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4.2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4.2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4.2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4.2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4.2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4.2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4.2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4.2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4.2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4.2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4.2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4.2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4.2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4.2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4.2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4.2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4.2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4.2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4.2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4.2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4.2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4.2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4.2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4.2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4.2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4.2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4.2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4.2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4.2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4.2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4.2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4.2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4.2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4.2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4.2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4.2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4.2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4.2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4.2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4.2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4.2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4.2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4.2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4.2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4.2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4.2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4.2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4.2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4.2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4.2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4.2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4.2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4.2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4.2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4.2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4.2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4.2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4.2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4.2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4.2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4.2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4.2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4.2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4.2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4.2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4.2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4.2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4.2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4.2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4.2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4.2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4.2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4.2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4.2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4.2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4.2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4.2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4.2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4.2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4.2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4.2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4.2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4.2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4.2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4.2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4.2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4.2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4.2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4.2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4.2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4.2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4.2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4.2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4.2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4.2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4.2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4.2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4.2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4.2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4.2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4.2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4.2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4.2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4.2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4.2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4.2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4.2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4.2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4.2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4.2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4.2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4.2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4.2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4.2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4.2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4.2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4.2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4.2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4.2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4.2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4.2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4.2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4.2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4.2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4.2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4.2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4.2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4.2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4.2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4.2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4.2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4.2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4.2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4.2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4.2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4.2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4.2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4.2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4.2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4.2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4.2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4.2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4.2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4.2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4.2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4.2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4.2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4.2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4.2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4.2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4.2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4.2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4.2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4.2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4.2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4.2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4.2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4.2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4.2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4.2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4.2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4.2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4.2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4.2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4.2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4.2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4.2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4.2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4.2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4.2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4.2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4.2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4.2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4.2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4.2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4.2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4.2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4.2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4.2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4.2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4.2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4.2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4.2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4.2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4.2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4.2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4.2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4.2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4.2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4.2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4.2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1.0" footer="0.0" header="0.0" left="0.75" right="0.75" top="1.0"/>
  <pageSetup orientation="portrait"/>
  <headerFooter>
    <oddFooter>&amp;C000000&amp;P</oddFooter>
  </headerFooter>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6.0"/>
    <col customWidth="1" min="2" max="2" width="13.0"/>
    <col customWidth="1" min="3" max="4" width="15.0"/>
    <col customWidth="1" min="5" max="5" width="44.0"/>
    <col customWidth="1" min="6" max="26" width="8.71"/>
  </cols>
  <sheetData>
    <row r="1" ht="17.25" customHeight="1">
      <c r="A1" s="6" t="s">
        <v>280</v>
      </c>
      <c r="B1" s="1"/>
      <c r="C1" s="1"/>
      <c r="D1" s="1"/>
      <c r="E1" s="1"/>
      <c r="F1" s="3"/>
      <c r="G1" s="3"/>
      <c r="H1" s="3"/>
      <c r="I1" s="3"/>
      <c r="J1" s="3"/>
      <c r="K1" s="3"/>
      <c r="L1" s="3"/>
      <c r="M1" s="3"/>
      <c r="N1" s="3"/>
      <c r="O1" s="3"/>
      <c r="P1" s="3"/>
      <c r="Q1" s="3"/>
      <c r="R1" s="3"/>
      <c r="S1" s="3"/>
      <c r="T1" s="3"/>
      <c r="U1" s="3"/>
      <c r="V1" s="3"/>
      <c r="W1" s="3"/>
      <c r="X1" s="3"/>
      <c r="Y1" s="3"/>
      <c r="Z1" s="3"/>
    </row>
    <row r="2" ht="53.25" customHeight="1">
      <c r="A2" s="47" t="s">
        <v>281</v>
      </c>
      <c r="B2" s="1"/>
      <c r="C2" s="1"/>
      <c r="D2" s="1"/>
      <c r="E2" s="1"/>
      <c r="F2" s="3"/>
      <c r="G2" s="3"/>
      <c r="H2" s="3"/>
      <c r="I2" s="3"/>
      <c r="J2" s="3"/>
      <c r="K2" s="3"/>
      <c r="L2" s="3"/>
      <c r="M2" s="3"/>
      <c r="N2" s="3"/>
      <c r="O2" s="3"/>
      <c r="P2" s="3"/>
      <c r="Q2" s="3"/>
      <c r="R2" s="3"/>
      <c r="S2" s="3"/>
      <c r="T2" s="3"/>
      <c r="U2" s="3"/>
      <c r="V2" s="3"/>
      <c r="W2" s="3"/>
      <c r="X2" s="3"/>
      <c r="Y2" s="3"/>
      <c r="Z2" s="3"/>
    </row>
    <row r="3" ht="13.5" customHeight="1">
      <c r="A3" s="12"/>
      <c r="B3" s="12"/>
      <c r="C3" s="12"/>
      <c r="D3" s="1"/>
      <c r="E3" s="1"/>
      <c r="F3" s="3"/>
      <c r="G3" s="3"/>
      <c r="H3" s="3"/>
      <c r="I3" s="3"/>
      <c r="J3" s="3"/>
      <c r="K3" s="3"/>
      <c r="L3" s="3"/>
      <c r="M3" s="3"/>
      <c r="N3" s="3"/>
      <c r="O3" s="3"/>
      <c r="P3" s="3"/>
      <c r="Q3" s="3"/>
      <c r="R3" s="3"/>
      <c r="S3" s="3"/>
      <c r="T3" s="3"/>
      <c r="U3" s="3"/>
      <c r="V3" s="3"/>
      <c r="W3" s="3"/>
      <c r="X3" s="3"/>
      <c r="Y3" s="3"/>
      <c r="Z3" s="3"/>
    </row>
    <row r="4" ht="15.0" customHeight="1">
      <c r="A4" s="16" t="s">
        <v>282</v>
      </c>
      <c r="B4" s="16" t="s">
        <v>195</v>
      </c>
      <c r="C4" s="16" t="s">
        <v>127</v>
      </c>
      <c r="D4" s="18"/>
      <c r="E4" s="1"/>
      <c r="F4" s="3"/>
      <c r="G4" s="3"/>
      <c r="H4" s="3"/>
      <c r="I4" s="3"/>
      <c r="J4" s="3"/>
      <c r="K4" s="3"/>
      <c r="L4" s="3"/>
      <c r="M4" s="3"/>
      <c r="N4" s="3"/>
      <c r="O4" s="3"/>
      <c r="P4" s="3"/>
      <c r="Q4" s="3"/>
      <c r="R4" s="3"/>
      <c r="S4" s="3"/>
      <c r="T4" s="3"/>
      <c r="U4" s="3"/>
      <c r="V4" s="3"/>
      <c r="W4" s="3"/>
      <c r="X4" s="3"/>
      <c r="Y4" s="3"/>
      <c r="Z4" s="3"/>
    </row>
    <row r="5" ht="15.0" customHeight="1">
      <c r="A5" s="38" t="s">
        <v>283</v>
      </c>
      <c r="B5" s="43">
        <v>1.0</v>
      </c>
      <c r="C5" s="58" t="s">
        <v>284</v>
      </c>
      <c r="D5" s="18"/>
      <c r="E5" s="1"/>
      <c r="F5" s="3"/>
      <c r="G5" s="3"/>
      <c r="H5" s="3"/>
      <c r="I5" s="3"/>
      <c r="J5" s="3"/>
      <c r="K5" s="3"/>
      <c r="L5" s="3"/>
      <c r="M5" s="3"/>
      <c r="N5" s="3"/>
      <c r="O5" s="3"/>
      <c r="P5" s="3"/>
      <c r="Q5" s="3"/>
      <c r="R5" s="3"/>
      <c r="S5" s="3"/>
      <c r="T5" s="3"/>
      <c r="U5" s="3"/>
      <c r="V5" s="3"/>
      <c r="W5" s="3"/>
      <c r="X5" s="3"/>
      <c r="Y5" s="3"/>
      <c r="Z5" s="3"/>
    </row>
    <row r="6" ht="15.0" customHeight="1">
      <c r="A6" s="38" t="s">
        <v>285</v>
      </c>
      <c r="B6" s="42">
        <f>$B$5/'Weights &amp; Rules'!$B$51*'Weights &amp; Rules'!$B$50</f>
        <v>0.075</v>
      </c>
      <c r="C6" s="58" t="s">
        <v>286</v>
      </c>
      <c r="D6" s="18"/>
      <c r="E6" s="1"/>
      <c r="F6" s="3"/>
      <c r="G6" s="3"/>
      <c r="H6" s="3"/>
      <c r="I6" s="3"/>
      <c r="J6" s="3"/>
      <c r="K6" s="3"/>
      <c r="L6" s="3"/>
      <c r="M6" s="3"/>
      <c r="N6" s="3"/>
      <c r="O6" s="3"/>
      <c r="P6" s="3"/>
      <c r="Q6" s="3"/>
      <c r="R6" s="3"/>
      <c r="S6" s="3"/>
      <c r="T6" s="3"/>
      <c r="U6" s="3"/>
      <c r="V6" s="3"/>
      <c r="W6" s="3"/>
      <c r="X6" s="3"/>
      <c r="Y6" s="3"/>
      <c r="Z6" s="3"/>
    </row>
    <row r="7" ht="13.5" customHeight="1">
      <c r="A7" s="30"/>
      <c r="B7" s="30"/>
      <c r="C7" s="30"/>
      <c r="D7" s="12"/>
      <c r="E7" s="12"/>
      <c r="F7" s="3"/>
      <c r="G7" s="3"/>
      <c r="H7" s="3"/>
      <c r="I7" s="3"/>
      <c r="J7" s="3"/>
      <c r="K7" s="3"/>
      <c r="L7" s="3"/>
      <c r="M7" s="3"/>
      <c r="N7" s="3"/>
      <c r="O7" s="3"/>
      <c r="P7" s="3"/>
      <c r="Q7" s="3"/>
      <c r="R7" s="3"/>
      <c r="S7" s="3"/>
      <c r="T7" s="3"/>
      <c r="U7" s="3"/>
      <c r="V7" s="3"/>
      <c r="W7" s="3"/>
      <c r="X7" s="3"/>
      <c r="Y7" s="3"/>
      <c r="Z7" s="3"/>
    </row>
    <row r="8" ht="23.25" customHeight="1">
      <c r="A8" s="16" t="s">
        <v>287</v>
      </c>
      <c r="B8" s="16" t="s">
        <v>288</v>
      </c>
      <c r="C8" s="16" t="s">
        <v>289</v>
      </c>
      <c r="D8" s="16" t="s">
        <v>290</v>
      </c>
      <c r="E8" s="16" t="s">
        <v>127</v>
      </c>
      <c r="F8" s="3"/>
      <c r="G8" s="3"/>
      <c r="H8" s="3"/>
      <c r="I8" s="3"/>
      <c r="J8" s="3"/>
      <c r="K8" s="3"/>
      <c r="L8" s="3"/>
      <c r="M8" s="3"/>
      <c r="N8" s="3"/>
      <c r="O8" s="3"/>
      <c r="P8" s="3"/>
      <c r="Q8" s="3"/>
      <c r="R8" s="3"/>
      <c r="S8" s="3"/>
      <c r="T8" s="3"/>
      <c r="U8" s="3"/>
      <c r="V8" s="3"/>
      <c r="W8" s="3"/>
      <c r="X8" s="3"/>
      <c r="Y8" s="3"/>
      <c r="Z8" s="3"/>
    </row>
    <row r="9" ht="15.0" customHeight="1">
      <c r="A9" s="38" t="s">
        <v>291</v>
      </c>
      <c r="B9" s="59">
        <f>'L1 Asset Classes'!$G$15</f>
        <v>0.5445114119</v>
      </c>
      <c r="C9" s="42">
        <f>'Equity Segments'!$G$15*(1-$B$6)</f>
        <v>0.4311677277</v>
      </c>
      <c r="D9" s="29">
        <f t="shared" ref="D9:D19" si="1">B9*C9</f>
        <v>0.2347757482</v>
      </c>
      <c r="E9" s="35"/>
      <c r="F9" s="3"/>
      <c r="G9" s="3"/>
      <c r="H9" s="3"/>
      <c r="I9" s="3"/>
      <c r="J9" s="3"/>
      <c r="K9" s="3"/>
      <c r="L9" s="3"/>
      <c r="M9" s="3"/>
      <c r="N9" s="3"/>
      <c r="O9" s="3"/>
      <c r="P9" s="3"/>
      <c r="Q9" s="3"/>
      <c r="R9" s="3"/>
      <c r="S9" s="3"/>
      <c r="T9" s="3"/>
      <c r="U9" s="3"/>
      <c r="V9" s="3"/>
      <c r="W9" s="3"/>
      <c r="X9" s="3"/>
      <c r="Y9" s="3"/>
      <c r="Z9" s="3"/>
    </row>
    <row r="10" ht="15.0" customHeight="1">
      <c r="A10" s="60" t="s">
        <v>292</v>
      </c>
      <c r="B10" s="61">
        <f>'L1 Asset Classes'!$G$15</f>
        <v>0.5445114119</v>
      </c>
      <c r="C10" s="62">
        <f>'Equity Segments'!$G$16*(1-$B$6)</f>
        <v>0.179242651</v>
      </c>
      <c r="D10" s="63">
        <f t="shared" si="1"/>
        <v>0.09759966896</v>
      </c>
      <c r="E10" s="64"/>
      <c r="F10" s="3"/>
      <c r="G10" s="3"/>
      <c r="H10" s="3"/>
      <c r="I10" s="3"/>
      <c r="J10" s="3"/>
      <c r="K10" s="3"/>
      <c r="L10" s="3"/>
      <c r="M10" s="3"/>
      <c r="N10" s="3"/>
      <c r="O10" s="3"/>
      <c r="P10" s="3"/>
      <c r="Q10" s="3"/>
      <c r="R10" s="3"/>
      <c r="S10" s="3"/>
      <c r="T10" s="3"/>
      <c r="U10" s="3"/>
      <c r="V10" s="3"/>
      <c r="W10" s="3"/>
      <c r="X10" s="3"/>
      <c r="Y10" s="3"/>
      <c r="Z10" s="3"/>
    </row>
    <row r="11" ht="15.0" customHeight="1">
      <c r="A11" s="38" t="s">
        <v>293</v>
      </c>
      <c r="B11" s="59">
        <f>'L1 Asset Classes'!$G$15</f>
        <v>0.5445114119</v>
      </c>
      <c r="C11" s="42">
        <f>'Equity Segments'!$G$17*(1-$B$6)</f>
        <v>0.1266194486</v>
      </c>
      <c r="D11" s="29">
        <f t="shared" si="1"/>
        <v>0.06894573473</v>
      </c>
      <c r="E11" s="35"/>
      <c r="F11" s="3"/>
      <c r="G11" s="3"/>
      <c r="H11" s="3"/>
      <c r="I11" s="3"/>
      <c r="J11" s="3"/>
      <c r="K11" s="3"/>
      <c r="L11" s="3"/>
      <c r="M11" s="3"/>
      <c r="N11" s="3"/>
      <c r="O11" s="3"/>
      <c r="P11" s="3"/>
      <c r="Q11" s="3"/>
      <c r="R11" s="3"/>
      <c r="S11" s="3"/>
      <c r="T11" s="3"/>
      <c r="U11" s="3"/>
      <c r="V11" s="3"/>
      <c r="W11" s="3"/>
      <c r="X11" s="3"/>
      <c r="Y11" s="3"/>
      <c r="Z11" s="3"/>
    </row>
    <row r="12" ht="15.0" customHeight="1">
      <c r="A12" s="60" t="s">
        <v>294</v>
      </c>
      <c r="B12" s="61">
        <f>'L1 Asset Classes'!$G$15</f>
        <v>0.5445114119</v>
      </c>
      <c r="C12" s="62">
        <f>'Equity Segments'!$G$18*(1-$B$6)</f>
        <v>0.1879701727</v>
      </c>
      <c r="D12" s="63">
        <f t="shared" si="1"/>
        <v>0.1023519041</v>
      </c>
      <c r="E12" s="64"/>
      <c r="F12" s="3"/>
      <c r="G12" s="3"/>
      <c r="H12" s="3"/>
      <c r="I12" s="3"/>
      <c r="J12" s="3"/>
      <c r="K12" s="3"/>
      <c r="L12" s="3"/>
      <c r="M12" s="3"/>
      <c r="N12" s="3"/>
      <c r="O12" s="3"/>
      <c r="P12" s="3"/>
      <c r="Q12" s="3"/>
      <c r="R12" s="3"/>
      <c r="S12" s="3"/>
      <c r="T12" s="3"/>
      <c r="U12" s="3"/>
      <c r="V12" s="3"/>
      <c r="W12" s="3"/>
      <c r="X12" s="3"/>
      <c r="Y12" s="3"/>
      <c r="Z12" s="3"/>
    </row>
    <row r="13" ht="15.0" customHeight="1">
      <c r="A13" s="48" t="s">
        <v>295</v>
      </c>
      <c r="B13" s="59">
        <f>'L1 Asset Classes'!$G$15</f>
        <v>0.5445114119</v>
      </c>
      <c r="C13" s="42">
        <f>IF($B$5&gt;=1,$B$6/MAX(1,$B$5),0)</f>
        <v>0.075</v>
      </c>
      <c r="D13" s="29">
        <f t="shared" si="1"/>
        <v>0.04083835589</v>
      </c>
      <c r="E13" s="35"/>
      <c r="F13" s="3"/>
      <c r="G13" s="3"/>
      <c r="H13" s="3"/>
      <c r="I13" s="3"/>
      <c r="J13" s="3"/>
      <c r="K13" s="3"/>
      <c r="L13" s="3"/>
      <c r="M13" s="3"/>
      <c r="N13" s="3"/>
      <c r="O13" s="3"/>
      <c r="P13" s="3"/>
      <c r="Q13" s="3"/>
      <c r="R13" s="3"/>
      <c r="S13" s="3"/>
      <c r="T13" s="3"/>
      <c r="U13" s="3"/>
      <c r="V13" s="3"/>
      <c r="W13" s="3"/>
      <c r="X13" s="3"/>
      <c r="Y13" s="3"/>
      <c r="Z13" s="3"/>
    </row>
    <row r="14" ht="15.0" customHeight="1">
      <c r="A14" s="51" t="s">
        <v>296</v>
      </c>
      <c r="B14" s="61">
        <f>'L1 Asset Classes'!$G$15</f>
        <v>0.5445114119</v>
      </c>
      <c r="C14" s="62">
        <f>IF($B$5&gt;=2,$B$6/MAX(1,$B$5),0)</f>
        <v>0</v>
      </c>
      <c r="D14" s="63">
        <f t="shared" si="1"/>
        <v>0</v>
      </c>
      <c r="E14" s="64"/>
      <c r="F14" s="3"/>
      <c r="G14" s="3"/>
      <c r="H14" s="3"/>
      <c r="I14" s="3"/>
      <c r="J14" s="3"/>
      <c r="K14" s="3"/>
      <c r="L14" s="3"/>
      <c r="M14" s="3"/>
      <c r="N14" s="3"/>
      <c r="O14" s="3"/>
      <c r="P14" s="3"/>
      <c r="Q14" s="3"/>
      <c r="R14" s="3"/>
      <c r="S14" s="3"/>
      <c r="T14" s="3"/>
      <c r="U14" s="3"/>
      <c r="V14" s="3"/>
      <c r="W14" s="3"/>
      <c r="X14" s="3"/>
      <c r="Y14" s="3"/>
      <c r="Z14" s="3"/>
    </row>
    <row r="15" ht="15.0" customHeight="1">
      <c r="A15" s="38" t="s">
        <v>297</v>
      </c>
      <c r="B15" s="59">
        <f>'L1 Asset Classes'!$G$16</f>
        <v>0.3561900998</v>
      </c>
      <c r="C15" s="42">
        <f>'Debt Buckets'!$G$14</f>
        <v>0.3935902656</v>
      </c>
      <c r="D15" s="29">
        <f t="shared" si="1"/>
        <v>0.140192956</v>
      </c>
      <c r="E15" s="35"/>
      <c r="F15" s="3"/>
      <c r="G15" s="3"/>
      <c r="H15" s="3"/>
      <c r="I15" s="3"/>
      <c r="J15" s="3"/>
      <c r="K15" s="3"/>
      <c r="L15" s="3"/>
      <c r="M15" s="3"/>
      <c r="N15" s="3"/>
      <c r="O15" s="3"/>
      <c r="P15" s="3"/>
      <c r="Q15" s="3"/>
      <c r="R15" s="3"/>
      <c r="S15" s="3"/>
      <c r="T15" s="3"/>
      <c r="U15" s="3"/>
      <c r="V15" s="3"/>
      <c r="W15" s="3"/>
      <c r="X15" s="3"/>
      <c r="Y15" s="3"/>
      <c r="Z15" s="3"/>
    </row>
    <row r="16" ht="15.0" customHeight="1">
      <c r="A16" s="60" t="s">
        <v>298</v>
      </c>
      <c r="B16" s="61">
        <f>'L1 Asset Classes'!$G$16</f>
        <v>0.3561900998</v>
      </c>
      <c r="C16" s="62">
        <f>'Debt Buckets'!$G$15</f>
        <v>0.3464035067</v>
      </c>
      <c r="D16" s="63">
        <f t="shared" si="1"/>
        <v>0.1233854996</v>
      </c>
      <c r="E16" s="64"/>
      <c r="F16" s="3"/>
      <c r="G16" s="3"/>
      <c r="H16" s="3"/>
      <c r="I16" s="3"/>
      <c r="J16" s="3"/>
      <c r="K16" s="3"/>
      <c r="L16" s="3"/>
      <c r="M16" s="3"/>
      <c r="N16" s="3"/>
      <c r="O16" s="3"/>
      <c r="P16" s="3"/>
      <c r="Q16" s="3"/>
      <c r="R16" s="3"/>
      <c r="S16" s="3"/>
      <c r="T16" s="3"/>
      <c r="U16" s="3"/>
      <c r="V16" s="3"/>
      <c r="W16" s="3"/>
      <c r="X16" s="3"/>
      <c r="Y16" s="3"/>
      <c r="Z16" s="3"/>
    </row>
    <row r="17" ht="15.0" customHeight="1">
      <c r="A17" s="38" t="s">
        <v>299</v>
      </c>
      <c r="B17" s="59">
        <f>'L1 Asset Classes'!$G$16</f>
        <v>0.3561900998</v>
      </c>
      <c r="C17" s="42">
        <f>'Debt Buckets'!$G$16</f>
        <v>0.2600062277</v>
      </c>
      <c r="D17" s="29">
        <f t="shared" si="1"/>
        <v>0.09261164419</v>
      </c>
      <c r="E17" s="35"/>
      <c r="F17" s="3"/>
      <c r="G17" s="3"/>
      <c r="H17" s="3"/>
      <c r="I17" s="3"/>
      <c r="J17" s="3"/>
      <c r="K17" s="3"/>
      <c r="L17" s="3"/>
      <c r="M17" s="3"/>
      <c r="N17" s="3"/>
      <c r="O17" s="3"/>
      <c r="P17" s="3"/>
      <c r="Q17" s="3"/>
      <c r="R17" s="3"/>
      <c r="S17" s="3"/>
      <c r="T17" s="3"/>
      <c r="U17" s="3"/>
      <c r="V17" s="3"/>
      <c r="W17" s="3"/>
      <c r="X17" s="3"/>
      <c r="Y17" s="3"/>
      <c r="Z17" s="3"/>
    </row>
    <row r="18" ht="15.0" customHeight="1">
      <c r="A18" s="60" t="s">
        <v>257</v>
      </c>
      <c r="B18" s="61">
        <f>'L1 Asset Classes'!$G$17</f>
        <v>0.09929848829</v>
      </c>
      <c r="C18" s="62">
        <f>'Precious Metals'!$G$13</f>
        <v>0.7446808511</v>
      </c>
      <c r="D18" s="63">
        <f t="shared" si="1"/>
        <v>0.07394568277</v>
      </c>
      <c r="E18" s="64"/>
      <c r="F18" s="3"/>
      <c r="G18" s="3"/>
      <c r="H18" s="3"/>
      <c r="I18" s="3"/>
      <c r="J18" s="3"/>
      <c r="K18" s="3"/>
      <c r="L18" s="3"/>
      <c r="M18" s="3"/>
      <c r="N18" s="3"/>
      <c r="O18" s="3"/>
      <c r="P18" s="3"/>
      <c r="Q18" s="3"/>
      <c r="R18" s="3"/>
      <c r="S18" s="3"/>
      <c r="T18" s="3"/>
      <c r="U18" s="3"/>
      <c r="V18" s="3"/>
      <c r="W18" s="3"/>
      <c r="X18" s="3"/>
      <c r="Y18" s="3"/>
      <c r="Z18" s="3"/>
    </row>
    <row r="19" ht="15.0" customHeight="1">
      <c r="A19" s="38" t="s">
        <v>258</v>
      </c>
      <c r="B19" s="59">
        <f>'L1 Asset Classes'!$G$17</f>
        <v>0.09929848829</v>
      </c>
      <c r="C19" s="42">
        <f>'Precious Metals'!$G$14</f>
        <v>0.2553191489</v>
      </c>
      <c r="D19" s="29">
        <f t="shared" si="1"/>
        <v>0.02535280552</v>
      </c>
      <c r="E19" s="35"/>
      <c r="F19" s="3"/>
      <c r="G19" s="3"/>
      <c r="H19" s="3"/>
      <c r="I19" s="3"/>
      <c r="J19" s="3"/>
      <c r="K19" s="3"/>
      <c r="L19" s="3"/>
      <c r="M19" s="3"/>
      <c r="N19" s="3"/>
      <c r="O19" s="3"/>
      <c r="P19" s="3"/>
      <c r="Q19" s="3"/>
      <c r="R19" s="3"/>
      <c r="S19" s="3"/>
      <c r="T19" s="3"/>
      <c r="U19" s="3"/>
      <c r="V19" s="3"/>
      <c r="W19" s="3"/>
      <c r="X19" s="3"/>
      <c r="Y19" s="3"/>
      <c r="Z19" s="3"/>
    </row>
    <row r="20" ht="15.0" customHeight="1">
      <c r="A20" s="27" t="s">
        <v>300</v>
      </c>
      <c r="B20" s="31"/>
      <c r="C20" s="46"/>
      <c r="D20" s="29">
        <f>SUM(D9:D19)</f>
        <v>1</v>
      </c>
      <c r="E20" s="38" t="str">
        <f>IF(ABS(D20-1)&lt;0.001,"OK","Must equal 100% — check inputs")</f>
        <v>OK</v>
      </c>
      <c r="F20" s="3"/>
      <c r="G20" s="3"/>
      <c r="H20" s="3"/>
      <c r="I20" s="3"/>
      <c r="J20" s="3"/>
      <c r="K20" s="3"/>
      <c r="L20" s="3"/>
      <c r="M20" s="3"/>
      <c r="N20" s="3"/>
      <c r="O20" s="3"/>
      <c r="P20" s="3"/>
      <c r="Q20" s="3"/>
      <c r="R20" s="3"/>
      <c r="S20" s="3"/>
      <c r="T20" s="3"/>
      <c r="U20" s="3"/>
      <c r="V20" s="3"/>
      <c r="W20" s="3"/>
      <c r="X20" s="3"/>
      <c r="Y20" s="3"/>
      <c r="Z20" s="3"/>
    </row>
    <row r="21" ht="13.5" customHeight="1">
      <c r="A21" s="32"/>
      <c r="B21" s="1"/>
      <c r="C21" s="1"/>
      <c r="D21" s="32"/>
      <c r="E21" s="32"/>
      <c r="F21" s="3"/>
      <c r="G21" s="3"/>
      <c r="H21" s="3"/>
      <c r="I21" s="3"/>
      <c r="J21" s="3"/>
      <c r="K21" s="3"/>
      <c r="L21" s="3"/>
      <c r="M21" s="3"/>
      <c r="N21" s="3"/>
      <c r="O21" s="3"/>
      <c r="P21" s="3"/>
      <c r="Q21" s="3"/>
      <c r="R21" s="3"/>
      <c r="S21" s="3"/>
      <c r="T21" s="3"/>
      <c r="U21" s="3"/>
      <c r="V21" s="3"/>
      <c r="W21" s="3"/>
      <c r="X21" s="3"/>
      <c r="Y21" s="3"/>
      <c r="Z21" s="3"/>
    </row>
    <row r="22" ht="63.75" customHeight="1">
      <c r="A22" s="47" t="s">
        <v>301</v>
      </c>
      <c r="B22" s="1"/>
      <c r="C22" s="1"/>
      <c r="D22" s="1"/>
      <c r="E22" s="1"/>
      <c r="F22" s="3"/>
      <c r="G22" s="3"/>
      <c r="H22" s="3"/>
      <c r="I22" s="3"/>
      <c r="J22" s="3"/>
      <c r="K22" s="3"/>
      <c r="L22" s="3"/>
      <c r="M22" s="3"/>
      <c r="N22" s="3"/>
      <c r="O22" s="3"/>
      <c r="P22" s="3"/>
      <c r="Q22" s="3"/>
      <c r="R22" s="3"/>
      <c r="S22" s="3"/>
      <c r="T22" s="3"/>
      <c r="U22" s="3"/>
      <c r="V22" s="3"/>
      <c r="W22" s="3"/>
      <c r="X22" s="3"/>
      <c r="Y22" s="3"/>
      <c r="Z22" s="3"/>
    </row>
    <row r="23" ht="14.2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4.2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4.2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4.2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4.2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4.2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4.2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4.2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4.2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4.2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4.2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4.2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4.2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4.2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4.2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4.2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4.2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4.2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4.2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4.2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4.2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4.2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4.2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4.2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4.2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4.2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4.2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4.2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4.2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4.2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4.2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4.2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4.2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4.2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4.2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4.2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4.2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4.2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4.2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4.2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4.2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4.2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4.2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4.2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4.2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4.2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4.2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4.2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4.2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4.2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4.2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4.2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4.2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4.2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4.2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4.2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4.2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4.2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4.2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4.2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4.2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4.2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4.2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4.2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4.2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4.2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4.2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4.2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4.2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4.2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4.2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4.2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4.2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4.2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4.2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4.2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4.2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4.2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4.2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4.2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4.2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4.2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4.2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4.2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4.2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4.2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4.2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4.2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4.2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4.2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4.2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4.2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4.2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4.2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4.2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4.2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4.2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4.2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4.2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4.2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4.2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4.2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4.2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4.2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4.2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4.2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4.2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4.2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4.2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4.2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4.2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4.2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4.2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4.2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4.2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4.2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4.2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4.2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4.2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4.2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4.2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4.2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4.2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4.2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4.2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4.2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4.2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4.2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4.2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4.2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4.2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4.2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4.2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4.2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4.2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4.2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4.2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4.2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4.2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4.2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4.2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4.2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4.2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4.2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4.2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4.2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4.2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4.2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4.2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4.2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4.2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4.2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4.2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4.2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4.2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4.2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4.2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4.2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4.2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4.2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4.2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4.2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4.2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4.2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4.2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4.2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4.2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4.2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4.2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4.2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4.2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4.2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4.2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4.2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4.2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4.2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4.2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4.2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4.2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4.2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4.2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4.2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4.2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4.2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4.2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4.2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4.2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4.2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4.2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4.2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4.2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4.2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4.2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4.2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4.2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4.2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4.2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4.2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4.2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4.2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4.2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4.2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4.2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4.2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4.2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4.2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4.2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4.2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4.2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4.2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4.2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4.2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4.2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4.2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4.2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4.2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4.2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4.2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4.2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4.2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4.2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4.2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4.2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4.2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4.2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4.2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4.2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4.2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4.2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4.2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4.2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4.2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4.2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4.2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4.2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4.2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4.2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4.2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4.2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4.2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4.2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4.2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4.2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4.2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4.2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4.2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4.2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4.2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4.2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4.2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4.2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4.2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4.2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4.2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4.2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4.2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4.2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4.2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4.2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4.2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4.2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4.2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4.2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4.2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4.2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4.2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4.2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4.2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4.2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4.2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4.2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4.2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4.2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4.2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4.2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4.2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4.2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4.2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4.2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4.2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4.2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4.2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4.2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4.2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4.2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4.2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4.2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4.2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4.2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4.2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4.2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4.2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4.2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4.2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4.2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4.2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4.2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4.2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4.2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4.2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4.2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4.2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4.2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4.2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4.2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4.2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4.2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4.2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4.2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4.2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4.2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4.2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4.2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4.2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4.2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4.2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4.2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4.2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4.2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4.2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4.2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4.2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4.2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4.2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4.2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4.2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4.2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4.2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4.2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4.2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4.2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4.2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4.2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4.2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4.2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4.2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4.2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4.2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4.2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4.2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4.2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4.2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4.2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4.2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4.2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4.2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4.2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4.2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4.2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4.2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4.2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4.2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4.2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4.2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4.2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4.2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4.2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4.2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4.2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4.2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4.2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4.2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4.2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4.2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4.2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4.2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4.2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4.2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4.2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4.2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4.2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4.2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4.2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4.2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4.2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4.2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4.2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4.2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4.2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4.2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4.2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4.2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4.2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4.2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4.2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4.2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4.2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4.2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4.2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4.2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4.2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4.2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4.2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4.2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4.2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4.2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4.2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4.2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4.2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4.2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4.2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4.2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4.2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4.2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4.2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4.2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4.2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4.2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4.2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4.2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4.2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4.2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4.2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4.2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4.2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4.2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4.2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4.2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4.2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4.2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4.2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4.2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4.2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4.2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4.2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4.2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4.2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4.2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4.2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4.2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4.2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4.2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4.2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4.2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4.2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4.2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4.2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4.2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4.2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4.2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4.2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4.2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4.2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4.2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4.2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4.2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4.2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4.2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4.2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4.2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4.2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4.2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4.2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4.2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4.2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4.2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4.2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4.2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4.2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4.2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4.2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4.2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4.2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4.2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4.2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4.2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4.2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4.2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4.2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4.2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4.2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4.2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4.2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4.2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4.2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4.2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4.2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4.2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4.2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4.2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4.2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4.2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4.2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4.2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4.2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4.2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4.2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4.2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4.2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4.2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4.2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4.2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4.2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4.2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4.2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4.2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4.2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4.2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4.2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4.2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4.2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4.2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4.2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4.2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4.2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4.2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4.2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4.2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4.2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4.2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4.2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4.2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4.2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4.2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4.2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4.2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4.2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4.2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4.2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4.2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4.2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4.2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4.2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4.2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4.2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4.2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4.2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4.2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4.2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4.2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4.2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4.2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4.2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4.2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4.2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4.2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4.2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4.2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4.2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4.2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4.2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4.2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4.2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4.2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4.2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4.2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4.2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4.2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4.2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4.2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4.2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4.2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4.2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4.2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4.2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4.2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4.2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4.2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4.2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4.2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4.2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4.2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4.2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4.2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4.2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4.2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4.2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4.2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4.2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4.2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4.2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4.2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4.2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4.2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4.2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4.2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4.2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4.2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4.2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4.2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4.2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4.2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4.2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4.2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4.2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4.2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4.2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4.2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4.2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4.2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4.2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4.2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4.2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4.2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4.2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4.2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4.2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4.2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4.2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4.2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4.2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4.2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4.2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4.2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4.2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4.2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4.2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4.2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4.2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4.2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4.2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4.2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4.2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4.2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4.2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4.2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4.2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4.2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4.2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4.2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4.2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4.2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4.2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4.2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4.2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4.2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4.2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4.2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4.2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4.2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4.2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4.2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4.2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4.2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4.2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4.2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4.2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4.2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4.2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4.2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4.2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4.2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4.2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4.2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4.2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4.2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4.2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4.2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4.2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4.2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4.2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4.2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4.2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4.2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4.2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4.2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4.2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4.2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4.2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4.2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4.2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4.2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4.2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4.2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4.2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4.2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4.2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4.2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4.2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4.2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4.2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4.2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4.2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4.2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4.2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4.2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4.2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4.2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4.2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4.2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4.2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4.2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4.2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4.2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4.2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4.2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4.2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4.2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4.2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4.2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4.2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4.2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4.2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4.2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4.2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4.2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4.2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4.2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4.2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4.2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4.2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4.2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4.2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4.2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4.2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4.2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4.2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4.2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4.2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4.2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4.2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4.2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4.2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4.2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4.2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4.2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4.2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4.2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4.2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4.2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4.2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4.2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4.2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4.2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4.2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4.2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4.2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4.2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4.2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4.2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4.2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4.2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4.2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4.2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4.2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4.2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4.2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4.2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4.2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4.2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4.2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4.2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4.2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4.2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4.2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4.2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4.2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4.2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4.2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4.2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4.2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4.2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4.2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4.2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4.2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4.2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4.2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4.2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4.2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4.2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4.2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4.2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4.2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4.2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4.2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4.2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4.2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4.2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4.2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4.2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4.2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4.2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4.2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4.2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4.2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4.2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4.2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4.2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4.2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4.2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4.2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4.2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4.2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4.2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4.2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4.2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4.2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4.2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4.2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4.2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4.2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4.2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4.2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4.2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4.2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4.2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4.2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4.2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4.2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4.2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4.2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4.2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4.2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4.2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4.2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4.2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4.2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4.2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4.2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4.2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4.2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4.2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4.2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4.2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4.2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4.2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4.2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4.2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4.2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4.2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4.2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4.2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4.2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4.2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4.2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4.2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4.2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4.2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4.2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4.2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4.2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4.2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4.2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4.2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4.2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4.2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4.2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4.2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4.2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4.2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4.2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4.2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4.2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4.2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4.2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4.2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4.2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4.2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4.2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4.2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4.2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4.2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4.2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4.2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4.2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4.2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4.2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4.2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4.2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4.2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4.2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4.2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4.2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4.2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4.2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4.2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4.2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4.2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4.2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4.2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4.2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4.2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4.2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4.2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4.2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4.2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4.2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4.2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4.2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4.2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4.2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4.2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4.2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4.2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4.2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4.2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4.2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4.2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4.2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4.2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4.2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4.2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4.2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4.2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4.2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4.2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4.2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4.2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4.2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4.2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4.2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4.2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4.2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4.2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4.2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4.2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4.2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4.2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4.2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4.2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4.2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4.2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4.2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4.2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4.2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4.2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4.2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4.2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4.2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4.2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4.2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4.2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4.2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4.2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4.2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4.2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4.2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4.2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4.2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4.2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4.2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4.2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4.2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4.2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4.2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4.2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4.2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4.2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4.2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4.2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4.2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4.2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4.2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4.2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4.2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4.2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4.2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4.2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4.2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4.2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4.2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4.2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4.2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4.2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4.2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4.2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4.2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4.2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4.2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4.2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4.2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4.2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4.2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4.2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4.2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4.2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4.2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4.2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4.2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4.2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4.2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4.2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4.2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4.2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4.2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4.2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4.2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4.2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1.0" footer="0.0" header="0.0" left="0.75" right="0.75" top="1.0"/>
  <pageSetup orientation="portrait"/>
  <headerFooter>
    <oddFooter>&amp;C000000&amp;P</oddFooter>
  </headerFooter>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4" width="12.0"/>
    <col customWidth="1" min="5" max="5" width="14.0"/>
    <col customWidth="1" min="6" max="7" width="12.0"/>
    <col customWidth="1" min="8" max="8" width="13.0"/>
    <col customWidth="1" min="9" max="26" width="8.71"/>
  </cols>
  <sheetData>
    <row r="1" ht="17.25" customHeight="1">
      <c r="A1" s="6" t="s">
        <v>46</v>
      </c>
      <c r="B1" s="1"/>
      <c r="C1" s="1"/>
      <c r="D1" s="1"/>
      <c r="E1" s="1"/>
      <c r="F1" s="1"/>
      <c r="G1" s="1"/>
      <c r="H1" s="1"/>
      <c r="I1" s="3"/>
      <c r="J1" s="3"/>
      <c r="K1" s="3"/>
      <c r="L1" s="3"/>
      <c r="M1" s="3"/>
      <c r="N1" s="3"/>
      <c r="O1" s="3"/>
      <c r="P1" s="3"/>
      <c r="Q1" s="3"/>
      <c r="R1" s="3"/>
      <c r="S1" s="3"/>
      <c r="T1" s="3"/>
      <c r="U1" s="3"/>
      <c r="V1" s="3"/>
      <c r="W1" s="3"/>
      <c r="X1" s="3"/>
      <c r="Y1" s="3"/>
      <c r="Z1" s="3"/>
    </row>
    <row r="2" ht="199.5" customHeight="1">
      <c r="A2" s="47" t="s">
        <v>302</v>
      </c>
      <c r="B2" s="1"/>
      <c r="C2" s="1"/>
      <c r="D2" s="1"/>
      <c r="E2" s="1"/>
      <c r="F2" s="1"/>
      <c r="G2" s="1"/>
      <c r="H2" s="1"/>
      <c r="I2" s="3"/>
      <c r="J2" s="3"/>
      <c r="K2" s="3"/>
      <c r="L2" s="3"/>
      <c r="M2" s="3"/>
      <c r="N2" s="3"/>
      <c r="O2" s="3"/>
      <c r="P2" s="3"/>
      <c r="Q2" s="3"/>
      <c r="R2" s="3"/>
      <c r="S2" s="3"/>
      <c r="T2" s="3"/>
      <c r="U2" s="3"/>
      <c r="V2" s="3"/>
      <c r="W2" s="3"/>
      <c r="X2" s="3"/>
      <c r="Y2" s="3"/>
      <c r="Z2" s="3"/>
    </row>
    <row r="3" ht="13.5" customHeight="1">
      <c r="A3" s="1"/>
      <c r="B3" s="1"/>
      <c r="C3" s="1"/>
      <c r="D3" s="1"/>
      <c r="E3" s="1"/>
      <c r="F3" s="1"/>
      <c r="G3" s="1"/>
      <c r="H3" s="1"/>
      <c r="I3" s="3"/>
      <c r="J3" s="3"/>
      <c r="K3" s="3"/>
      <c r="L3" s="3"/>
      <c r="M3" s="3"/>
      <c r="N3" s="3"/>
      <c r="O3" s="3"/>
      <c r="P3" s="3"/>
      <c r="Q3" s="3"/>
      <c r="R3" s="3"/>
      <c r="S3" s="3"/>
      <c r="T3" s="3"/>
      <c r="U3" s="3"/>
      <c r="V3" s="3"/>
      <c r="W3" s="3"/>
      <c r="X3" s="3"/>
      <c r="Y3" s="3"/>
      <c r="Z3" s="3"/>
    </row>
    <row r="4" ht="15.0" customHeight="1">
      <c r="A4" s="9" t="s">
        <v>303</v>
      </c>
      <c r="B4" s="12"/>
      <c r="C4" s="12"/>
      <c r="D4" s="12"/>
      <c r="E4" s="12"/>
      <c r="F4" s="12"/>
      <c r="G4" s="12"/>
      <c r="H4" s="12"/>
      <c r="I4" s="3"/>
      <c r="J4" s="3"/>
      <c r="K4" s="3"/>
      <c r="L4" s="3"/>
      <c r="M4" s="3"/>
      <c r="N4" s="3"/>
      <c r="O4" s="3"/>
      <c r="P4" s="3"/>
      <c r="Q4" s="3"/>
      <c r="R4" s="3"/>
      <c r="S4" s="3"/>
      <c r="T4" s="3"/>
      <c r="U4" s="3"/>
      <c r="V4" s="3"/>
      <c r="W4" s="3"/>
      <c r="X4" s="3"/>
      <c r="Y4" s="3"/>
      <c r="Z4" s="3"/>
    </row>
    <row r="5" ht="23.25" customHeight="1">
      <c r="A5" s="16" t="s">
        <v>304</v>
      </c>
      <c r="B5" s="16" t="s">
        <v>305</v>
      </c>
      <c r="C5" s="16" t="s">
        <v>306</v>
      </c>
      <c r="D5" s="16" t="s">
        <v>307</v>
      </c>
      <c r="E5" s="16" t="s">
        <v>308</v>
      </c>
      <c r="F5" s="16" t="s">
        <v>309</v>
      </c>
      <c r="G5" s="16" t="s">
        <v>310</v>
      </c>
      <c r="H5" s="16" t="s">
        <v>311</v>
      </c>
      <c r="I5" s="3"/>
      <c r="J5" s="3"/>
      <c r="K5" s="3"/>
      <c r="L5" s="3"/>
      <c r="M5" s="3"/>
      <c r="N5" s="3"/>
      <c r="O5" s="3"/>
      <c r="P5" s="3"/>
      <c r="Q5" s="3"/>
      <c r="R5" s="3"/>
      <c r="S5" s="3"/>
      <c r="T5" s="3"/>
      <c r="U5" s="3"/>
      <c r="V5" s="3"/>
      <c r="W5" s="3"/>
      <c r="X5" s="3"/>
      <c r="Y5" s="3"/>
      <c r="Z5" s="3"/>
    </row>
    <row r="6" ht="15.0" customHeight="1">
      <c r="A6" s="48" t="s">
        <v>312</v>
      </c>
      <c r="B6" s="65">
        <v>22.5</v>
      </c>
      <c r="C6" s="65">
        <v>33.1</v>
      </c>
      <c r="D6" s="65">
        <v>30.2</v>
      </c>
      <c r="E6" s="66">
        <f t="shared" ref="E6:E53" si="1">IF($B6="","",C6-B6)</f>
        <v>10.6</v>
      </c>
      <c r="F6" s="66">
        <f t="shared" ref="F6:F53" si="2">IF($B6="","",D6-B6)</f>
        <v>7.7</v>
      </c>
      <c r="G6" s="66">
        <f t="shared" ref="G6:G53" si="3">IF($B6="","",IFERROR(PERCENTRANK($E$6:$E$53,E6)*100,""))</f>
        <v>100</v>
      </c>
      <c r="H6" s="66">
        <f t="shared" ref="H6:H53" si="4">IF($B6="","",IFERROR(PERCENTRANK($F$6:$F$53,F6)*100,""))</f>
        <v>100</v>
      </c>
      <c r="I6" s="3"/>
      <c r="J6" s="3"/>
      <c r="K6" s="3"/>
      <c r="L6" s="3"/>
      <c r="M6" s="3"/>
      <c r="N6" s="3"/>
      <c r="O6" s="3"/>
      <c r="P6" s="3"/>
      <c r="Q6" s="3"/>
      <c r="R6" s="3"/>
      <c r="S6" s="3"/>
      <c r="T6" s="3"/>
      <c r="U6" s="3"/>
      <c r="V6" s="3"/>
      <c r="W6" s="3"/>
      <c r="X6" s="3"/>
      <c r="Y6" s="3"/>
      <c r="Z6" s="3"/>
    </row>
    <row r="7" ht="15.0" customHeight="1">
      <c r="A7" s="51" t="s">
        <v>313</v>
      </c>
      <c r="B7" s="67">
        <v>21.8</v>
      </c>
      <c r="C7" s="67">
        <v>31.9</v>
      </c>
      <c r="D7" s="67">
        <v>28.8</v>
      </c>
      <c r="E7" s="68">
        <f t="shared" si="1"/>
        <v>10.1</v>
      </c>
      <c r="F7" s="68">
        <f t="shared" si="2"/>
        <v>7</v>
      </c>
      <c r="G7" s="68">
        <f t="shared" si="3"/>
        <v>0</v>
      </c>
      <c r="H7" s="68">
        <f t="shared" si="4"/>
        <v>0</v>
      </c>
      <c r="I7" s="3"/>
      <c r="J7" s="3"/>
      <c r="K7" s="3"/>
      <c r="L7" s="3"/>
      <c r="M7" s="3"/>
      <c r="N7" s="3"/>
      <c r="O7" s="3"/>
      <c r="P7" s="3"/>
      <c r="Q7" s="3"/>
      <c r="R7" s="3"/>
      <c r="S7" s="3"/>
      <c r="T7" s="3"/>
      <c r="U7" s="3"/>
      <c r="V7" s="3"/>
      <c r="W7" s="3"/>
      <c r="X7" s="3"/>
      <c r="Y7" s="3"/>
      <c r="Z7" s="3"/>
    </row>
    <row r="8" ht="15.0" customHeight="1">
      <c r="A8" s="48" t="s">
        <v>314</v>
      </c>
      <c r="B8" s="65">
        <v>22.1</v>
      </c>
      <c r="C8" s="65">
        <v>32.4</v>
      </c>
      <c r="D8" s="65">
        <v>29.5</v>
      </c>
      <c r="E8" s="66">
        <f t="shared" si="1"/>
        <v>10.3</v>
      </c>
      <c r="F8" s="66">
        <f t="shared" si="2"/>
        <v>7.4</v>
      </c>
      <c r="G8" s="66">
        <f t="shared" si="3"/>
        <v>50</v>
      </c>
      <c r="H8" s="66">
        <f t="shared" si="4"/>
        <v>50</v>
      </c>
      <c r="I8" s="3"/>
      <c r="J8" s="3"/>
      <c r="K8" s="3"/>
      <c r="L8" s="3"/>
      <c r="M8" s="3"/>
      <c r="N8" s="3"/>
      <c r="O8" s="3"/>
      <c r="P8" s="3"/>
      <c r="Q8" s="3"/>
      <c r="R8" s="3"/>
      <c r="S8" s="3"/>
      <c r="T8" s="3"/>
      <c r="U8" s="3"/>
      <c r="V8" s="3"/>
      <c r="W8" s="3"/>
      <c r="X8" s="3"/>
      <c r="Y8" s="3"/>
      <c r="Z8" s="3"/>
    </row>
    <row r="9" ht="15.0" customHeight="1">
      <c r="A9" s="69"/>
      <c r="B9" s="69"/>
      <c r="C9" s="69"/>
      <c r="D9" s="69"/>
      <c r="E9" s="60" t="str">
        <f t="shared" si="1"/>
        <v/>
      </c>
      <c r="F9" s="60" t="str">
        <f t="shared" si="2"/>
        <v/>
      </c>
      <c r="G9" s="60" t="str">
        <f t="shared" si="3"/>
        <v/>
      </c>
      <c r="H9" s="60" t="str">
        <f t="shared" si="4"/>
        <v/>
      </c>
      <c r="I9" s="3"/>
      <c r="J9" s="3"/>
      <c r="K9" s="3"/>
      <c r="L9" s="3"/>
      <c r="M9" s="3"/>
      <c r="N9" s="3"/>
      <c r="O9" s="3"/>
      <c r="P9" s="3"/>
      <c r="Q9" s="3"/>
      <c r="R9" s="3"/>
      <c r="S9" s="3"/>
      <c r="T9" s="3"/>
      <c r="U9" s="3"/>
      <c r="V9" s="3"/>
      <c r="W9" s="3"/>
      <c r="X9" s="3"/>
      <c r="Y9" s="3"/>
      <c r="Z9" s="3"/>
    </row>
    <row r="10" ht="15.0" customHeight="1">
      <c r="A10" s="70"/>
      <c r="B10" s="70"/>
      <c r="C10" s="70"/>
      <c r="D10" s="70"/>
      <c r="E10" s="38" t="str">
        <f t="shared" si="1"/>
        <v/>
      </c>
      <c r="F10" s="38" t="str">
        <f t="shared" si="2"/>
        <v/>
      </c>
      <c r="G10" s="38" t="str">
        <f t="shared" si="3"/>
        <v/>
      </c>
      <c r="H10" s="38" t="str">
        <f t="shared" si="4"/>
        <v/>
      </c>
      <c r="I10" s="3"/>
      <c r="J10" s="3"/>
      <c r="K10" s="3"/>
      <c r="L10" s="3"/>
      <c r="M10" s="3"/>
      <c r="N10" s="3"/>
      <c r="O10" s="3"/>
      <c r="P10" s="3"/>
      <c r="Q10" s="3"/>
      <c r="R10" s="3"/>
      <c r="S10" s="3"/>
      <c r="T10" s="3"/>
      <c r="U10" s="3"/>
      <c r="V10" s="3"/>
      <c r="W10" s="3"/>
      <c r="X10" s="3"/>
      <c r="Y10" s="3"/>
      <c r="Z10" s="3"/>
    </row>
    <row r="11" ht="15.0" customHeight="1">
      <c r="A11" s="69"/>
      <c r="B11" s="69"/>
      <c r="C11" s="69"/>
      <c r="D11" s="69"/>
      <c r="E11" s="60" t="str">
        <f t="shared" si="1"/>
        <v/>
      </c>
      <c r="F11" s="60" t="str">
        <f t="shared" si="2"/>
        <v/>
      </c>
      <c r="G11" s="60" t="str">
        <f t="shared" si="3"/>
        <v/>
      </c>
      <c r="H11" s="60" t="str">
        <f t="shared" si="4"/>
        <v/>
      </c>
      <c r="I11" s="3"/>
      <c r="J11" s="3"/>
      <c r="K11" s="3"/>
      <c r="L11" s="3"/>
      <c r="M11" s="3"/>
      <c r="N11" s="3"/>
      <c r="O11" s="3"/>
      <c r="P11" s="3"/>
      <c r="Q11" s="3"/>
      <c r="R11" s="3"/>
      <c r="S11" s="3"/>
      <c r="T11" s="3"/>
      <c r="U11" s="3"/>
      <c r="V11" s="3"/>
      <c r="W11" s="3"/>
      <c r="X11" s="3"/>
      <c r="Y11" s="3"/>
      <c r="Z11" s="3"/>
    </row>
    <row r="12" ht="15.0" customHeight="1">
      <c r="A12" s="70"/>
      <c r="B12" s="70"/>
      <c r="C12" s="70"/>
      <c r="D12" s="70"/>
      <c r="E12" s="38" t="str">
        <f t="shared" si="1"/>
        <v/>
      </c>
      <c r="F12" s="38" t="str">
        <f t="shared" si="2"/>
        <v/>
      </c>
      <c r="G12" s="38" t="str">
        <f t="shared" si="3"/>
        <v/>
      </c>
      <c r="H12" s="38" t="str">
        <f t="shared" si="4"/>
        <v/>
      </c>
      <c r="I12" s="3"/>
      <c r="J12" s="3"/>
      <c r="K12" s="3"/>
      <c r="L12" s="3"/>
      <c r="M12" s="3"/>
      <c r="N12" s="3"/>
      <c r="O12" s="3"/>
      <c r="P12" s="3"/>
      <c r="Q12" s="3"/>
      <c r="R12" s="3"/>
      <c r="S12" s="3"/>
      <c r="T12" s="3"/>
      <c r="U12" s="3"/>
      <c r="V12" s="3"/>
      <c r="W12" s="3"/>
      <c r="X12" s="3"/>
      <c r="Y12" s="3"/>
      <c r="Z12" s="3"/>
    </row>
    <row r="13" ht="15.0" customHeight="1">
      <c r="A13" s="69"/>
      <c r="B13" s="69"/>
      <c r="C13" s="69"/>
      <c r="D13" s="69"/>
      <c r="E13" s="60" t="str">
        <f t="shared" si="1"/>
        <v/>
      </c>
      <c r="F13" s="60" t="str">
        <f t="shared" si="2"/>
        <v/>
      </c>
      <c r="G13" s="60" t="str">
        <f t="shared" si="3"/>
        <v/>
      </c>
      <c r="H13" s="60" t="str">
        <f t="shared" si="4"/>
        <v/>
      </c>
      <c r="I13" s="3"/>
      <c r="J13" s="3"/>
      <c r="K13" s="3"/>
      <c r="L13" s="3"/>
      <c r="M13" s="3"/>
      <c r="N13" s="3"/>
      <c r="O13" s="3"/>
      <c r="P13" s="3"/>
      <c r="Q13" s="3"/>
      <c r="R13" s="3"/>
      <c r="S13" s="3"/>
      <c r="T13" s="3"/>
      <c r="U13" s="3"/>
      <c r="V13" s="3"/>
      <c r="W13" s="3"/>
      <c r="X13" s="3"/>
      <c r="Y13" s="3"/>
      <c r="Z13" s="3"/>
    </row>
    <row r="14" ht="15.0" customHeight="1">
      <c r="A14" s="70"/>
      <c r="B14" s="70"/>
      <c r="C14" s="70"/>
      <c r="D14" s="70"/>
      <c r="E14" s="38" t="str">
        <f t="shared" si="1"/>
        <v/>
      </c>
      <c r="F14" s="38" t="str">
        <f t="shared" si="2"/>
        <v/>
      </c>
      <c r="G14" s="38" t="str">
        <f t="shared" si="3"/>
        <v/>
      </c>
      <c r="H14" s="38" t="str">
        <f t="shared" si="4"/>
        <v/>
      </c>
      <c r="I14" s="3"/>
      <c r="J14" s="3"/>
      <c r="K14" s="3"/>
      <c r="L14" s="3"/>
      <c r="M14" s="3"/>
      <c r="N14" s="3"/>
      <c r="O14" s="3"/>
      <c r="P14" s="3"/>
      <c r="Q14" s="3"/>
      <c r="R14" s="3"/>
      <c r="S14" s="3"/>
      <c r="T14" s="3"/>
      <c r="U14" s="3"/>
      <c r="V14" s="3"/>
      <c r="W14" s="3"/>
      <c r="X14" s="3"/>
      <c r="Y14" s="3"/>
      <c r="Z14" s="3"/>
    </row>
    <row r="15" ht="15.0" customHeight="1">
      <c r="A15" s="69"/>
      <c r="B15" s="69"/>
      <c r="C15" s="69"/>
      <c r="D15" s="69"/>
      <c r="E15" s="60" t="str">
        <f t="shared" si="1"/>
        <v/>
      </c>
      <c r="F15" s="60" t="str">
        <f t="shared" si="2"/>
        <v/>
      </c>
      <c r="G15" s="60" t="str">
        <f t="shared" si="3"/>
        <v/>
      </c>
      <c r="H15" s="60" t="str">
        <f t="shared" si="4"/>
        <v/>
      </c>
      <c r="I15" s="3"/>
      <c r="J15" s="3"/>
      <c r="K15" s="3"/>
      <c r="L15" s="3"/>
      <c r="M15" s="3"/>
      <c r="N15" s="3"/>
      <c r="O15" s="3"/>
      <c r="P15" s="3"/>
      <c r="Q15" s="3"/>
      <c r="R15" s="3"/>
      <c r="S15" s="3"/>
      <c r="T15" s="3"/>
      <c r="U15" s="3"/>
      <c r="V15" s="3"/>
      <c r="W15" s="3"/>
      <c r="X15" s="3"/>
      <c r="Y15" s="3"/>
      <c r="Z15" s="3"/>
    </row>
    <row r="16" ht="15.0" customHeight="1">
      <c r="A16" s="70"/>
      <c r="B16" s="70"/>
      <c r="C16" s="70"/>
      <c r="D16" s="70"/>
      <c r="E16" s="38" t="str">
        <f t="shared" si="1"/>
        <v/>
      </c>
      <c r="F16" s="38" t="str">
        <f t="shared" si="2"/>
        <v/>
      </c>
      <c r="G16" s="38" t="str">
        <f t="shared" si="3"/>
        <v/>
      </c>
      <c r="H16" s="38" t="str">
        <f t="shared" si="4"/>
        <v/>
      </c>
      <c r="I16" s="3"/>
      <c r="J16" s="3"/>
      <c r="K16" s="3"/>
      <c r="L16" s="3"/>
      <c r="M16" s="3"/>
      <c r="N16" s="3"/>
      <c r="O16" s="3"/>
      <c r="P16" s="3"/>
      <c r="Q16" s="3"/>
      <c r="R16" s="3"/>
      <c r="S16" s="3"/>
      <c r="T16" s="3"/>
      <c r="U16" s="3"/>
      <c r="V16" s="3"/>
      <c r="W16" s="3"/>
      <c r="X16" s="3"/>
      <c r="Y16" s="3"/>
      <c r="Z16" s="3"/>
    </row>
    <row r="17" ht="15.0" customHeight="1">
      <c r="A17" s="69"/>
      <c r="B17" s="69"/>
      <c r="C17" s="69"/>
      <c r="D17" s="69"/>
      <c r="E17" s="60" t="str">
        <f t="shared" si="1"/>
        <v/>
      </c>
      <c r="F17" s="60" t="str">
        <f t="shared" si="2"/>
        <v/>
      </c>
      <c r="G17" s="60" t="str">
        <f t="shared" si="3"/>
        <v/>
      </c>
      <c r="H17" s="60" t="str">
        <f t="shared" si="4"/>
        <v/>
      </c>
      <c r="I17" s="3"/>
      <c r="J17" s="3"/>
      <c r="K17" s="3"/>
      <c r="L17" s="3"/>
      <c r="M17" s="3"/>
      <c r="N17" s="3"/>
      <c r="O17" s="3"/>
      <c r="P17" s="3"/>
      <c r="Q17" s="3"/>
      <c r="R17" s="3"/>
      <c r="S17" s="3"/>
      <c r="T17" s="3"/>
      <c r="U17" s="3"/>
      <c r="V17" s="3"/>
      <c r="W17" s="3"/>
      <c r="X17" s="3"/>
      <c r="Y17" s="3"/>
      <c r="Z17" s="3"/>
    </row>
    <row r="18" ht="15.0" customHeight="1">
      <c r="A18" s="70"/>
      <c r="B18" s="70"/>
      <c r="C18" s="70"/>
      <c r="D18" s="70"/>
      <c r="E18" s="38" t="str">
        <f t="shared" si="1"/>
        <v/>
      </c>
      <c r="F18" s="38" t="str">
        <f t="shared" si="2"/>
        <v/>
      </c>
      <c r="G18" s="38" t="str">
        <f t="shared" si="3"/>
        <v/>
      </c>
      <c r="H18" s="38" t="str">
        <f t="shared" si="4"/>
        <v/>
      </c>
      <c r="I18" s="3"/>
      <c r="J18" s="3"/>
      <c r="K18" s="3"/>
      <c r="L18" s="3"/>
      <c r="M18" s="3"/>
      <c r="N18" s="3"/>
      <c r="O18" s="3"/>
      <c r="P18" s="3"/>
      <c r="Q18" s="3"/>
      <c r="R18" s="3"/>
      <c r="S18" s="3"/>
      <c r="T18" s="3"/>
      <c r="U18" s="3"/>
      <c r="V18" s="3"/>
      <c r="W18" s="3"/>
      <c r="X18" s="3"/>
      <c r="Y18" s="3"/>
      <c r="Z18" s="3"/>
    </row>
    <row r="19" ht="15.0" customHeight="1">
      <c r="A19" s="69"/>
      <c r="B19" s="69"/>
      <c r="C19" s="69"/>
      <c r="D19" s="69"/>
      <c r="E19" s="60" t="str">
        <f t="shared" si="1"/>
        <v/>
      </c>
      <c r="F19" s="60" t="str">
        <f t="shared" si="2"/>
        <v/>
      </c>
      <c r="G19" s="60" t="str">
        <f t="shared" si="3"/>
        <v/>
      </c>
      <c r="H19" s="60" t="str">
        <f t="shared" si="4"/>
        <v/>
      </c>
      <c r="I19" s="3"/>
      <c r="J19" s="3"/>
      <c r="K19" s="3"/>
      <c r="L19" s="3"/>
      <c r="M19" s="3"/>
      <c r="N19" s="3"/>
      <c r="O19" s="3"/>
      <c r="P19" s="3"/>
      <c r="Q19" s="3"/>
      <c r="R19" s="3"/>
      <c r="S19" s="3"/>
      <c r="T19" s="3"/>
      <c r="U19" s="3"/>
      <c r="V19" s="3"/>
      <c r="W19" s="3"/>
      <c r="X19" s="3"/>
      <c r="Y19" s="3"/>
      <c r="Z19" s="3"/>
    </row>
    <row r="20" ht="15.0" customHeight="1">
      <c r="A20" s="70"/>
      <c r="B20" s="70"/>
      <c r="C20" s="70"/>
      <c r="D20" s="70"/>
      <c r="E20" s="38" t="str">
        <f t="shared" si="1"/>
        <v/>
      </c>
      <c r="F20" s="38" t="str">
        <f t="shared" si="2"/>
        <v/>
      </c>
      <c r="G20" s="38" t="str">
        <f t="shared" si="3"/>
        <v/>
      </c>
      <c r="H20" s="38" t="str">
        <f t="shared" si="4"/>
        <v/>
      </c>
      <c r="I20" s="3"/>
      <c r="J20" s="3"/>
      <c r="K20" s="3"/>
      <c r="L20" s="3"/>
      <c r="M20" s="3"/>
      <c r="N20" s="3"/>
      <c r="O20" s="3"/>
      <c r="P20" s="3"/>
      <c r="Q20" s="3"/>
      <c r="R20" s="3"/>
      <c r="S20" s="3"/>
      <c r="T20" s="3"/>
      <c r="U20" s="3"/>
      <c r="V20" s="3"/>
      <c r="W20" s="3"/>
      <c r="X20" s="3"/>
      <c r="Y20" s="3"/>
      <c r="Z20" s="3"/>
    </row>
    <row r="21" ht="15.0" customHeight="1">
      <c r="A21" s="69"/>
      <c r="B21" s="69"/>
      <c r="C21" s="69"/>
      <c r="D21" s="69"/>
      <c r="E21" s="60" t="str">
        <f t="shared" si="1"/>
        <v/>
      </c>
      <c r="F21" s="60" t="str">
        <f t="shared" si="2"/>
        <v/>
      </c>
      <c r="G21" s="60" t="str">
        <f t="shared" si="3"/>
        <v/>
      </c>
      <c r="H21" s="60" t="str">
        <f t="shared" si="4"/>
        <v/>
      </c>
      <c r="I21" s="3"/>
      <c r="J21" s="3"/>
      <c r="K21" s="3"/>
      <c r="L21" s="3"/>
      <c r="M21" s="3"/>
      <c r="N21" s="3"/>
      <c r="O21" s="3"/>
      <c r="P21" s="3"/>
      <c r="Q21" s="3"/>
      <c r="R21" s="3"/>
      <c r="S21" s="3"/>
      <c r="T21" s="3"/>
      <c r="U21" s="3"/>
      <c r="V21" s="3"/>
      <c r="W21" s="3"/>
      <c r="X21" s="3"/>
      <c r="Y21" s="3"/>
      <c r="Z21" s="3"/>
    </row>
    <row r="22" ht="15.0" customHeight="1">
      <c r="A22" s="70"/>
      <c r="B22" s="70"/>
      <c r="C22" s="70"/>
      <c r="D22" s="70"/>
      <c r="E22" s="38" t="str">
        <f t="shared" si="1"/>
        <v/>
      </c>
      <c r="F22" s="38" t="str">
        <f t="shared" si="2"/>
        <v/>
      </c>
      <c r="G22" s="38" t="str">
        <f t="shared" si="3"/>
        <v/>
      </c>
      <c r="H22" s="38" t="str">
        <f t="shared" si="4"/>
        <v/>
      </c>
      <c r="I22" s="3"/>
      <c r="J22" s="3"/>
      <c r="K22" s="3"/>
      <c r="L22" s="3"/>
      <c r="M22" s="3"/>
      <c r="N22" s="3"/>
      <c r="O22" s="3"/>
      <c r="P22" s="3"/>
      <c r="Q22" s="3"/>
      <c r="R22" s="3"/>
      <c r="S22" s="3"/>
      <c r="T22" s="3"/>
      <c r="U22" s="3"/>
      <c r="V22" s="3"/>
      <c r="W22" s="3"/>
      <c r="X22" s="3"/>
      <c r="Y22" s="3"/>
      <c r="Z22" s="3"/>
    </row>
    <row r="23" ht="15.0" customHeight="1">
      <c r="A23" s="69"/>
      <c r="B23" s="69"/>
      <c r="C23" s="69"/>
      <c r="D23" s="69"/>
      <c r="E23" s="60" t="str">
        <f t="shared" si="1"/>
        <v/>
      </c>
      <c r="F23" s="60" t="str">
        <f t="shared" si="2"/>
        <v/>
      </c>
      <c r="G23" s="60" t="str">
        <f t="shared" si="3"/>
        <v/>
      </c>
      <c r="H23" s="60" t="str">
        <f t="shared" si="4"/>
        <v/>
      </c>
      <c r="I23" s="3"/>
      <c r="J23" s="3"/>
      <c r="K23" s="3"/>
      <c r="L23" s="3"/>
      <c r="M23" s="3"/>
      <c r="N23" s="3"/>
      <c r="O23" s="3"/>
      <c r="P23" s="3"/>
      <c r="Q23" s="3"/>
      <c r="R23" s="3"/>
      <c r="S23" s="3"/>
      <c r="T23" s="3"/>
      <c r="U23" s="3"/>
      <c r="V23" s="3"/>
      <c r="W23" s="3"/>
      <c r="X23" s="3"/>
      <c r="Y23" s="3"/>
      <c r="Z23" s="3"/>
    </row>
    <row r="24" ht="15.0" customHeight="1">
      <c r="A24" s="70"/>
      <c r="B24" s="70"/>
      <c r="C24" s="70"/>
      <c r="D24" s="70"/>
      <c r="E24" s="38" t="str">
        <f t="shared" si="1"/>
        <v/>
      </c>
      <c r="F24" s="38" t="str">
        <f t="shared" si="2"/>
        <v/>
      </c>
      <c r="G24" s="38" t="str">
        <f t="shared" si="3"/>
        <v/>
      </c>
      <c r="H24" s="38" t="str">
        <f t="shared" si="4"/>
        <v/>
      </c>
      <c r="I24" s="3"/>
      <c r="J24" s="3"/>
      <c r="K24" s="3"/>
      <c r="L24" s="3"/>
      <c r="M24" s="3"/>
      <c r="N24" s="3"/>
      <c r="O24" s="3"/>
      <c r="P24" s="3"/>
      <c r="Q24" s="3"/>
      <c r="R24" s="3"/>
      <c r="S24" s="3"/>
      <c r="T24" s="3"/>
      <c r="U24" s="3"/>
      <c r="V24" s="3"/>
      <c r="W24" s="3"/>
      <c r="X24" s="3"/>
      <c r="Y24" s="3"/>
      <c r="Z24" s="3"/>
    </row>
    <row r="25" ht="15.0" customHeight="1">
      <c r="A25" s="69"/>
      <c r="B25" s="69"/>
      <c r="C25" s="69"/>
      <c r="D25" s="69"/>
      <c r="E25" s="60" t="str">
        <f t="shared" si="1"/>
        <v/>
      </c>
      <c r="F25" s="60" t="str">
        <f t="shared" si="2"/>
        <v/>
      </c>
      <c r="G25" s="60" t="str">
        <f t="shared" si="3"/>
        <v/>
      </c>
      <c r="H25" s="60" t="str">
        <f t="shared" si="4"/>
        <v/>
      </c>
      <c r="I25" s="3"/>
      <c r="J25" s="3"/>
      <c r="K25" s="3"/>
      <c r="L25" s="3"/>
      <c r="M25" s="3"/>
      <c r="N25" s="3"/>
      <c r="O25" s="3"/>
      <c r="P25" s="3"/>
      <c r="Q25" s="3"/>
      <c r="R25" s="3"/>
      <c r="S25" s="3"/>
      <c r="T25" s="3"/>
      <c r="U25" s="3"/>
      <c r="V25" s="3"/>
      <c r="W25" s="3"/>
      <c r="X25" s="3"/>
      <c r="Y25" s="3"/>
      <c r="Z25" s="3"/>
    </row>
    <row r="26" ht="15.0" customHeight="1">
      <c r="A26" s="70"/>
      <c r="B26" s="70"/>
      <c r="C26" s="70"/>
      <c r="D26" s="70"/>
      <c r="E26" s="38" t="str">
        <f t="shared" si="1"/>
        <v/>
      </c>
      <c r="F26" s="38" t="str">
        <f t="shared" si="2"/>
        <v/>
      </c>
      <c r="G26" s="38" t="str">
        <f t="shared" si="3"/>
        <v/>
      </c>
      <c r="H26" s="38" t="str">
        <f t="shared" si="4"/>
        <v/>
      </c>
      <c r="I26" s="3"/>
      <c r="J26" s="3"/>
      <c r="K26" s="3"/>
      <c r="L26" s="3"/>
      <c r="M26" s="3"/>
      <c r="N26" s="3"/>
      <c r="O26" s="3"/>
      <c r="P26" s="3"/>
      <c r="Q26" s="3"/>
      <c r="R26" s="3"/>
      <c r="S26" s="3"/>
      <c r="T26" s="3"/>
      <c r="U26" s="3"/>
      <c r="V26" s="3"/>
      <c r="W26" s="3"/>
      <c r="X26" s="3"/>
      <c r="Y26" s="3"/>
      <c r="Z26" s="3"/>
    </row>
    <row r="27" ht="15.0" customHeight="1">
      <c r="A27" s="69"/>
      <c r="B27" s="69"/>
      <c r="C27" s="69"/>
      <c r="D27" s="69"/>
      <c r="E27" s="60" t="str">
        <f t="shared" si="1"/>
        <v/>
      </c>
      <c r="F27" s="60" t="str">
        <f t="shared" si="2"/>
        <v/>
      </c>
      <c r="G27" s="60" t="str">
        <f t="shared" si="3"/>
        <v/>
      </c>
      <c r="H27" s="60" t="str">
        <f t="shared" si="4"/>
        <v/>
      </c>
      <c r="I27" s="3"/>
      <c r="J27" s="3"/>
      <c r="K27" s="3"/>
      <c r="L27" s="3"/>
      <c r="M27" s="3"/>
      <c r="N27" s="3"/>
      <c r="O27" s="3"/>
      <c r="P27" s="3"/>
      <c r="Q27" s="3"/>
      <c r="R27" s="3"/>
      <c r="S27" s="3"/>
      <c r="T27" s="3"/>
      <c r="U27" s="3"/>
      <c r="V27" s="3"/>
      <c r="W27" s="3"/>
      <c r="X27" s="3"/>
      <c r="Y27" s="3"/>
      <c r="Z27" s="3"/>
    </row>
    <row r="28" ht="15.0" customHeight="1">
      <c r="A28" s="70"/>
      <c r="B28" s="70"/>
      <c r="C28" s="70"/>
      <c r="D28" s="70"/>
      <c r="E28" s="38" t="str">
        <f t="shared" si="1"/>
        <v/>
      </c>
      <c r="F28" s="38" t="str">
        <f t="shared" si="2"/>
        <v/>
      </c>
      <c r="G28" s="38" t="str">
        <f t="shared" si="3"/>
        <v/>
      </c>
      <c r="H28" s="38" t="str">
        <f t="shared" si="4"/>
        <v/>
      </c>
      <c r="I28" s="3"/>
      <c r="J28" s="3"/>
      <c r="K28" s="3"/>
      <c r="L28" s="3"/>
      <c r="M28" s="3"/>
      <c r="N28" s="3"/>
      <c r="O28" s="3"/>
      <c r="P28" s="3"/>
      <c r="Q28" s="3"/>
      <c r="R28" s="3"/>
      <c r="S28" s="3"/>
      <c r="T28" s="3"/>
      <c r="U28" s="3"/>
      <c r="V28" s="3"/>
      <c r="W28" s="3"/>
      <c r="X28" s="3"/>
      <c r="Y28" s="3"/>
      <c r="Z28" s="3"/>
    </row>
    <row r="29" ht="15.0" customHeight="1">
      <c r="A29" s="69"/>
      <c r="B29" s="69"/>
      <c r="C29" s="69"/>
      <c r="D29" s="69"/>
      <c r="E29" s="60" t="str">
        <f t="shared" si="1"/>
        <v/>
      </c>
      <c r="F29" s="60" t="str">
        <f t="shared" si="2"/>
        <v/>
      </c>
      <c r="G29" s="60" t="str">
        <f t="shared" si="3"/>
        <v/>
      </c>
      <c r="H29" s="60" t="str">
        <f t="shared" si="4"/>
        <v/>
      </c>
      <c r="I29" s="3"/>
      <c r="J29" s="3"/>
      <c r="K29" s="3"/>
      <c r="L29" s="3"/>
      <c r="M29" s="3"/>
      <c r="N29" s="3"/>
      <c r="O29" s="3"/>
      <c r="P29" s="3"/>
      <c r="Q29" s="3"/>
      <c r="R29" s="3"/>
      <c r="S29" s="3"/>
      <c r="T29" s="3"/>
      <c r="U29" s="3"/>
      <c r="V29" s="3"/>
      <c r="W29" s="3"/>
      <c r="X29" s="3"/>
      <c r="Y29" s="3"/>
      <c r="Z29" s="3"/>
    </row>
    <row r="30" ht="15.0" customHeight="1">
      <c r="A30" s="70"/>
      <c r="B30" s="70"/>
      <c r="C30" s="70"/>
      <c r="D30" s="70"/>
      <c r="E30" s="38" t="str">
        <f t="shared" si="1"/>
        <v/>
      </c>
      <c r="F30" s="38" t="str">
        <f t="shared" si="2"/>
        <v/>
      </c>
      <c r="G30" s="38" t="str">
        <f t="shared" si="3"/>
        <v/>
      </c>
      <c r="H30" s="38" t="str">
        <f t="shared" si="4"/>
        <v/>
      </c>
      <c r="I30" s="3"/>
      <c r="J30" s="3"/>
      <c r="K30" s="3"/>
      <c r="L30" s="3"/>
      <c r="M30" s="3"/>
      <c r="N30" s="3"/>
      <c r="O30" s="3"/>
      <c r="P30" s="3"/>
      <c r="Q30" s="3"/>
      <c r="R30" s="3"/>
      <c r="S30" s="3"/>
      <c r="T30" s="3"/>
      <c r="U30" s="3"/>
      <c r="V30" s="3"/>
      <c r="W30" s="3"/>
      <c r="X30" s="3"/>
      <c r="Y30" s="3"/>
      <c r="Z30" s="3"/>
    </row>
    <row r="31" ht="15.0" customHeight="1">
      <c r="A31" s="69"/>
      <c r="B31" s="69"/>
      <c r="C31" s="69"/>
      <c r="D31" s="69"/>
      <c r="E31" s="60" t="str">
        <f t="shared" si="1"/>
        <v/>
      </c>
      <c r="F31" s="60" t="str">
        <f t="shared" si="2"/>
        <v/>
      </c>
      <c r="G31" s="60" t="str">
        <f t="shared" si="3"/>
        <v/>
      </c>
      <c r="H31" s="60" t="str">
        <f t="shared" si="4"/>
        <v/>
      </c>
      <c r="I31" s="3"/>
      <c r="J31" s="3"/>
      <c r="K31" s="3"/>
      <c r="L31" s="3"/>
      <c r="M31" s="3"/>
      <c r="N31" s="3"/>
      <c r="O31" s="3"/>
      <c r="P31" s="3"/>
      <c r="Q31" s="3"/>
      <c r="R31" s="3"/>
      <c r="S31" s="3"/>
      <c r="T31" s="3"/>
      <c r="U31" s="3"/>
      <c r="V31" s="3"/>
      <c r="W31" s="3"/>
      <c r="X31" s="3"/>
      <c r="Y31" s="3"/>
      <c r="Z31" s="3"/>
    </row>
    <row r="32" ht="15.0" customHeight="1">
      <c r="A32" s="70"/>
      <c r="B32" s="70"/>
      <c r="C32" s="70"/>
      <c r="D32" s="70"/>
      <c r="E32" s="38" t="str">
        <f t="shared" si="1"/>
        <v/>
      </c>
      <c r="F32" s="38" t="str">
        <f t="shared" si="2"/>
        <v/>
      </c>
      <c r="G32" s="38" t="str">
        <f t="shared" si="3"/>
        <v/>
      </c>
      <c r="H32" s="38" t="str">
        <f t="shared" si="4"/>
        <v/>
      </c>
      <c r="I32" s="3"/>
      <c r="J32" s="3"/>
      <c r="K32" s="3"/>
      <c r="L32" s="3"/>
      <c r="M32" s="3"/>
      <c r="N32" s="3"/>
      <c r="O32" s="3"/>
      <c r="P32" s="3"/>
      <c r="Q32" s="3"/>
      <c r="R32" s="3"/>
      <c r="S32" s="3"/>
      <c r="T32" s="3"/>
      <c r="U32" s="3"/>
      <c r="V32" s="3"/>
      <c r="W32" s="3"/>
      <c r="X32" s="3"/>
      <c r="Y32" s="3"/>
      <c r="Z32" s="3"/>
    </row>
    <row r="33" ht="15.0" customHeight="1">
      <c r="A33" s="69"/>
      <c r="B33" s="69"/>
      <c r="C33" s="69"/>
      <c r="D33" s="69"/>
      <c r="E33" s="60" t="str">
        <f t="shared" si="1"/>
        <v/>
      </c>
      <c r="F33" s="60" t="str">
        <f t="shared" si="2"/>
        <v/>
      </c>
      <c r="G33" s="60" t="str">
        <f t="shared" si="3"/>
        <v/>
      </c>
      <c r="H33" s="60" t="str">
        <f t="shared" si="4"/>
        <v/>
      </c>
      <c r="I33" s="3"/>
      <c r="J33" s="3"/>
      <c r="K33" s="3"/>
      <c r="L33" s="3"/>
      <c r="M33" s="3"/>
      <c r="N33" s="3"/>
      <c r="O33" s="3"/>
      <c r="P33" s="3"/>
      <c r="Q33" s="3"/>
      <c r="R33" s="3"/>
      <c r="S33" s="3"/>
      <c r="T33" s="3"/>
      <c r="U33" s="3"/>
      <c r="V33" s="3"/>
      <c r="W33" s="3"/>
      <c r="X33" s="3"/>
      <c r="Y33" s="3"/>
      <c r="Z33" s="3"/>
    </row>
    <row r="34" ht="15.0" customHeight="1">
      <c r="A34" s="70"/>
      <c r="B34" s="70"/>
      <c r="C34" s="70"/>
      <c r="D34" s="70"/>
      <c r="E34" s="38" t="str">
        <f t="shared" si="1"/>
        <v/>
      </c>
      <c r="F34" s="38" t="str">
        <f t="shared" si="2"/>
        <v/>
      </c>
      <c r="G34" s="38" t="str">
        <f t="shared" si="3"/>
        <v/>
      </c>
      <c r="H34" s="38" t="str">
        <f t="shared" si="4"/>
        <v/>
      </c>
      <c r="I34" s="3"/>
      <c r="J34" s="3"/>
      <c r="K34" s="3"/>
      <c r="L34" s="3"/>
      <c r="M34" s="3"/>
      <c r="N34" s="3"/>
      <c r="O34" s="3"/>
      <c r="P34" s="3"/>
      <c r="Q34" s="3"/>
      <c r="R34" s="3"/>
      <c r="S34" s="3"/>
      <c r="T34" s="3"/>
      <c r="U34" s="3"/>
      <c r="V34" s="3"/>
      <c r="W34" s="3"/>
      <c r="X34" s="3"/>
      <c r="Y34" s="3"/>
      <c r="Z34" s="3"/>
    </row>
    <row r="35" ht="15.0" customHeight="1">
      <c r="A35" s="69"/>
      <c r="B35" s="69"/>
      <c r="C35" s="69"/>
      <c r="D35" s="69"/>
      <c r="E35" s="60" t="str">
        <f t="shared" si="1"/>
        <v/>
      </c>
      <c r="F35" s="60" t="str">
        <f t="shared" si="2"/>
        <v/>
      </c>
      <c r="G35" s="60" t="str">
        <f t="shared" si="3"/>
        <v/>
      </c>
      <c r="H35" s="60" t="str">
        <f t="shared" si="4"/>
        <v/>
      </c>
      <c r="I35" s="3"/>
      <c r="J35" s="3"/>
      <c r="K35" s="3"/>
      <c r="L35" s="3"/>
      <c r="M35" s="3"/>
      <c r="N35" s="3"/>
      <c r="O35" s="3"/>
      <c r="P35" s="3"/>
      <c r="Q35" s="3"/>
      <c r="R35" s="3"/>
      <c r="S35" s="3"/>
      <c r="T35" s="3"/>
      <c r="U35" s="3"/>
      <c r="V35" s="3"/>
      <c r="W35" s="3"/>
      <c r="X35" s="3"/>
      <c r="Y35" s="3"/>
      <c r="Z35" s="3"/>
    </row>
    <row r="36" ht="15.0" customHeight="1">
      <c r="A36" s="70"/>
      <c r="B36" s="70"/>
      <c r="C36" s="70"/>
      <c r="D36" s="70"/>
      <c r="E36" s="38" t="str">
        <f t="shared" si="1"/>
        <v/>
      </c>
      <c r="F36" s="38" t="str">
        <f t="shared" si="2"/>
        <v/>
      </c>
      <c r="G36" s="38" t="str">
        <f t="shared" si="3"/>
        <v/>
      </c>
      <c r="H36" s="38" t="str">
        <f t="shared" si="4"/>
        <v/>
      </c>
      <c r="I36" s="3"/>
      <c r="J36" s="3"/>
      <c r="K36" s="3"/>
      <c r="L36" s="3"/>
      <c r="M36" s="3"/>
      <c r="N36" s="3"/>
      <c r="O36" s="3"/>
      <c r="P36" s="3"/>
      <c r="Q36" s="3"/>
      <c r="R36" s="3"/>
      <c r="S36" s="3"/>
      <c r="T36" s="3"/>
      <c r="U36" s="3"/>
      <c r="V36" s="3"/>
      <c r="W36" s="3"/>
      <c r="X36" s="3"/>
      <c r="Y36" s="3"/>
      <c r="Z36" s="3"/>
    </row>
    <row r="37" ht="15.0" customHeight="1">
      <c r="A37" s="69"/>
      <c r="B37" s="69"/>
      <c r="C37" s="69"/>
      <c r="D37" s="69"/>
      <c r="E37" s="60" t="str">
        <f t="shared" si="1"/>
        <v/>
      </c>
      <c r="F37" s="60" t="str">
        <f t="shared" si="2"/>
        <v/>
      </c>
      <c r="G37" s="60" t="str">
        <f t="shared" si="3"/>
        <v/>
      </c>
      <c r="H37" s="60" t="str">
        <f t="shared" si="4"/>
        <v/>
      </c>
      <c r="I37" s="3"/>
      <c r="J37" s="3"/>
      <c r="K37" s="3"/>
      <c r="L37" s="3"/>
      <c r="M37" s="3"/>
      <c r="N37" s="3"/>
      <c r="O37" s="3"/>
      <c r="P37" s="3"/>
      <c r="Q37" s="3"/>
      <c r="R37" s="3"/>
      <c r="S37" s="3"/>
      <c r="T37" s="3"/>
      <c r="U37" s="3"/>
      <c r="V37" s="3"/>
      <c r="W37" s="3"/>
      <c r="X37" s="3"/>
      <c r="Y37" s="3"/>
      <c r="Z37" s="3"/>
    </row>
    <row r="38" ht="15.0" customHeight="1">
      <c r="A38" s="70"/>
      <c r="B38" s="70"/>
      <c r="C38" s="70"/>
      <c r="D38" s="70"/>
      <c r="E38" s="38" t="str">
        <f t="shared" si="1"/>
        <v/>
      </c>
      <c r="F38" s="38" t="str">
        <f t="shared" si="2"/>
        <v/>
      </c>
      <c r="G38" s="38" t="str">
        <f t="shared" si="3"/>
        <v/>
      </c>
      <c r="H38" s="38" t="str">
        <f t="shared" si="4"/>
        <v/>
      </c>
      <c r="I38" s="3"/>
      <c r="J38" s="3"/>
      <c r="K38" s="3"/>
      <c r="L38" s="3"/>
      <c r="M38" s="3"/>
      <c r="N38" s="3"/>
      <c r="O38" s="3"/>
      <c r="P38" s="3"/>
      <c r="Q38" s="3"/>
      <c r="R38" s="3"/>
      <c r="S38" s="3"/>
      <c r="T38" s="3"/>
      <c r="U38" s="3"/>
      <c r="V38" s="3"/>
      <c r="W38" s="3"/>
      <c r="X38" s="3"/>
      <c r="Y38" s="3"/>
      <c r="Z38" s="3"/>
    </row>
    <row r="39" ht="15.0" customHeight="1">
      <c r="A39" s="69"/>
      <c r="B39" s="69"/>
      <c r="C39" s="69"/>
      <c r="D39" s="69"/>
      <c r="E39" s="60" t="str">
        <f t="shared" si="1"/>
        <v/>
      </c>
      <c r="F39" s="60" t="str">
        <f t="shared" si="2"/>
        <v/>
      </c>
      <c r="G39" s="60" t="str">
        <f t="shared" si="3"/>
        <v/>
      </c>
      <c r="H39" s="60" t="str">
        <f t="shared" si="4"/>
        <v/>
      </c>
      <c r="I39" s="3"/>
      <c r="J39" s="3"/>
      <c r="K39" s="3"/>
      <c r="L39" s="3"/>
      <c r="M39" s="3"/>
      <c r="N39" s="3"/>
      <c r="O39" s="3"/>
      <c r="P39" s="3"/>
      <c r="Q39" s="3"/>
      <c r="R39" s="3"/>
      <c r="S39" s="3"/>
      <c r="T39" s="3"/>
      <c r="U39" s="3"/>
      <c r="V39" s="3"/>
      <c r="W39" s="3"/>
      <c r="X39" s="3"/>
      <c r="Y39" s="3"/>
      <c r="Z39" s="3"/>
    </row>
    <row r="40" ht="15.0" customHeight="1">
      <c r="A40" s="70"/>
      <c r="B40" s="70"/>
      <c r="C40" s="70"/>
      <c r="D40" s="70"/>
      <c r="E40" s="38" t="str">
        <f t="shared" si="1"/>
        <v/>
      </c>
      <c r="F40" s="38" t="str">
        <f t="shared" si="2"/>
        <v/>
      </c>
      <c r="G40" s="38" t="str">
        <f t="shared" si="3"/>
        <v/>
      </c>
      <c r="H40" s="38" t="str">
        <f t="shared" si="4"/>
        <v/>
      </c>
      <c r="I40" s="3"/>
      <c r="J40" s="3"/>
      <c r="K40" s="3"/>
      <c r="L40" s="3"/>
      <c r="M40" s="3"/>
      <c r="N40" s="3"/>
      <c r="O40" s="3"/>
      <c r="P40" s="3"/>
      <c r="Q40" s="3"/>
      <c r="R40" s="3"/>
      <c r="S40" s="3"/>
      <c r="T40" s="3"/>
      <c r="U40" s="3"/>
      <c r="V40" s="3"/>
      <c r="W40" s="3"/>
      <c r="X40" s="3"/>
      <c r="Y40" s="3"/>
      <c r="Z40" s="3"/>
    </row>
    <row r="41" ht="15.0" customHeight="1">
      <c r="A41" s="69"/>
      <c r="B41" s="69"/>
      <c r="C41" s="69"/>
      <c r="D41" s="69"/>
      <c r="E41" s="60" t="str">
        <f t="shared" si="1"/>
        <v/>
      </c>
      <c r="F41" s="60" t="str">
        <f t="shared" si="2"/>
        <v/>
      </c>
      <c r="G41" s="60" t="str">
        <f t="shared" si="3"/>
        <v/>
      </c>
      <c r="H41" s="60" t="str">
        <f t="shared" si="4"/>
        <v/>
      </c>
      <c r="I41" s="3"/>
      <c r="J41" s="3"/>
      <c r="K41" s="3"/>
      <c r="L41" s="3"/>
      <c r="M41" s="3"/>
      <c r="N41" s="3"/>
      <c r="O41" s="3"/>
      <c r="P41" s="3"/>
      <c r="Q41" s="3"/>
      <c r="R41" s="3"/>
      <c r="S41" s="3"/>
      <c r="T41" s="3"/>
      <c r="U41" s="3"/>
      <c r="V41" s="3"/>
      <c r="W41" s="3"/>
      <c r="X41" s="3"/>
      <c r="Y41" s="3"/>
      <c r="Z41" s="3"/>
    </row>
    <row r="42" ht="15.0" customHeight="1">
      <c r="A42" s="70"/>
      <c r="B42" s="70"/>
      <c r="C42" s="70"/>
      <c r="D42" s="70"/>
      <c r="E42" s="38" t="str">
        <f t="shared" si="1"/>
        <v/>
      </c>
      <c r="F42" s="38" t="str">
        <f t="shared" si="2"/>
        <v/>
      </c>
      <c r="G42" s="38" t="str">
        <f t="shared" si="3"/>
        <v/>
      </c>
      <c r="H42" s="38" t="str">
        <f t="shared" si="4"/>
        <v/>
      </c>
      <c r="I42" s="3"/>
      <c r="J42" s="3"/>
      <c r="K42" s="3"/>
      <c r="L42" s="3"/>
      <c r="M42" s="3"/>
      <c r="N42" s="3"/>
      <c r="O42" s="3"/>
      <c r="P42" s="3"/>
      <c r="Q42" s="3"/>
      <c r="R42" s="3"/>
      <c r="S42" s="3"/>
      <c r="T42" s="3"/>
      <c r="U42" s="3"/>
      <c r="V42" s="3"/>
      <c r="W42" s="3"/>
      <c r="X42" s="3"/>
      <c r="Y42" s="3"/>
      <c r="Z42" s="3"/>
    </row>
    <row r="43" ht="15.0" customHeight="1">
      <c r="A43" s="69"/>
      <c r="B43" s="69"/>
      <c r="C43" s="69"/>
      <c r="D43" s="69"/>
      <c r="E43" s="60" t="str">
        <f t="shared" si="1"/>
        <v/>
      </c>
      <c r="F43" s="60" t="str">
        <f t="shared" si="2"/>
        <v/>
      </c>
      <c r="G43" s="60" t="str">
        <f t="shared" si="3"/>
        <v/>
      </c>
      <c r="H43" s="60" t="str">
        <f t="shared" si="4"/>
        <v/>
      </c>
      <c r="I43" s="3"/>
      <c r="J43" s="3"/>
      <c r="K43" s="3"/>
      <c r="L43" s="3"/>
      <c r="M43" s="3"/>
      <c r="N43" s="3"/>
      <c r="O43" s="3"/>
      <c r="P43" s="3"/>
      <c r="Q43" s="3"/>
      <c r="R43" s="3"/>
      <c r="S43" s="3"/>
      <c r="T43" s="3"/>
      <c r="U43" s="3"/>
      <c r="V43" s="3"/>
      <c r="W43" s="3"/>
      <c r="X43" s="3"/>
      <c r="Y43" s="3"/>
      <c r="Z43" s="3"/>
    </row>
    <row r="44" ht="15.0" customHeight="1">
      <c r="A44" s="70"/>
      <c r="B44" s="70"/>
      <c r="C44" s="70"/>
      <c r="D44" s="70"/>
      <c r="E44" s="38" t="str">
        <f t="shared" si="1"/>
        <v/>
      </c>
      <c r="F44" s="38" t="str">
        <f t="shared" si="2"/>
        <v/>
      </c>
      <c r="G44" s="38" t="str">
        <f t="shared" si="3"/>
        <v/>
      </c>
      <c r="H44" s="38" t="str">
        <f t="shared" si="4"/>
        <v/>
      </c>
      <c r="I44" s="3"/>
      <c r="J44" s="3"/>
      <c r="K44" s="3"/>
      <c r="L44" s="3"/>
      <c r="M44" s="3"/>
      <c r="N44" s="3"/>
      <c r="O44" s="3"/>
      <c r="P44" s="3"/>
      <c r="Q44" s="3"/>
      <c r="R44" s="3"/>
      <c r="S44" s="3"/>
      <c r="T44" s="3"/>
      <c r="U44" s="3"/>
      <c r="V44" s="3"/>
      <c r="W44" s="3"/>
      <c r="X44" s="3"/>
      <c r="Y44" s="3"/>
      <c r="Z44" s="3"/>
    </row>
    <row r="45" ht="15.0" customHeight="1">
      <c r="A45" s="69"/>
      <c r="B45" s="69"/>
      <c r="C45" s="69"/>
      <c r="D45" s="69"/>
      <c r="E45" s="60" t="str">
        <f t="shared" si="1"/>
        <v/>
      </c>
      <c r="F45" s="60" t="str">
        <f t="shared" si="2"/>
        <v/>
      </c>
      <c r="G45" s="60" t="str">
        <f t="shared" si="3"/>
        <v/>
      </c>
      <c r="H45" s="60" t="str">
        <f t="shared" si="4"/>
        <v/>
      </c>
      <c r="I45" s="3"/>
      <c r="J45" s="3"/>
      <c r="K45" s="3"/>
      <c r="L45" s="3"/>
      <c r="M45" s="3"/>
      <c r="N45" s="3"/>
      <c r="O45" s="3"/>
      <c r="P45" s="3"/>
      <c r="Q45" s="3"/>
      <c r="R45" s="3"/>
      <c r="S45" s="3"/>
      <c r="T45" s="3"/>
      <c r="U45" s="3"/>
      <c r="V45" s="3"/>
      <c r="W45" s="3"/>
      <c r="X45" s="3"/>
      <c r="Y45" s="3"/>
      <c r="Z45" s="3"/>
    </row>
    <row r="46" ht="15.0" customHeight="1">
      <c r="A46" s="70"/>
      <c r="B46" s="70"/>
      <c r="C46" s="70"/>
      <c r="D46" s="70"/>
      <c r="E46" s="38" t="str">
        <f t="shared" si="1"/>
        <v/>
      </c>
      <c r="F46" s="38" t="str">
        <f t="shared" si="2"/>
        <v/>
      </c>
      <c r="G46" s="38" t="str">
        <f t="shared" si="3"/>
        <v/>
      </c>
      <c r="H46" s="38" t="str">
        <f t="shared" si="4"/>
        <v/>
      </c>
      <c r="I46" s="3"/>
      <c r="J46" s="3"/>
      <c r="K46" s="3"/>
      <c r="L46" s="3"/>
      <c r="M46" s="3"/>
      <c r="N46" s="3"/>
      <c r="O46" s="3"/>
      <c r="P46" s="3"/>
      <c r="Q46" s="3"/>
      <c r="R46" s="3"/>
      <c r="S46" s="3"/>
      <c r="T46" s="3"/>
      <c r="U46" s="3"/>
      <c r="V46" s="3"/>
      <c r="W46" s="3"/>
      <c r="X46" s="3"/>
      <c r="Y46" s="3"/>
      <c r="Z46" s="3"/>
    </row>
    <row r="47" ht="15.0" customHeight="1">
      <c r="A47" s="69"/>
      <c r="B47" s="69"/>
      <c r="C47" s="69"/>
      <c r="D47" s="69"/>
      <c r="E47" s="60" t="str">
        <f t="shared" si="1"/>
        <v/>
      </c>
      <c r="F47" s="60" t="str">
        <f t="shared" si="2"/>
        <v/>
      </c>
      <c r="G47" s="60" t="str">
        <f t="shared" si="3"/>
        <v/>
      </c>
      <c r="H47" s="60" t="str">
        <f t="shared" si="4"/>
        <v/>
      </c>
      <c r="I47" s="3"/>
      <c r="J47" s="3"/>
      <c r="K47" s="3"/>
      <c r="L47" s="3"/>
      <c r="M47" s="3"/>
      <c r="N47" s="3"/>
      <c r="O47" s="3"/>
      <c r="P47" s="3"/>
      <c r="Q47" s="3"/>
      <c r="R47" s="3"/>
      <c r="S47" s="3"/>
      <c r="T47" s="3"/>
      <c r="U47" s="3"/>
      <c r="V47" s="3"/>
      <c r="W47" s="3"/>
      <c r="X47" s="3"/>
      <c r="Y47" s="3"/>
      <c r="Z47" s="3"/>
    </row>
    <row r="48" ht="15.0" customHeight="1">
      <c r="A48" s="70"/>
      <c r="B48" s="70"/>
      <c r="C48" s="70"/>
      <c r="D48" s="70"/>
      <c r="E48" s="38" t="str">
        <f t="shared" si="1"/>
        <v/>
      </c>
      <c r="F48" s="38" t="str">
        <f t="shared" si="2"/>
        <v/>
      </c>
      <c r="G48" s="38" t="str">
        <f t="shared" si="3"/>
        <v/>
      </c>
      <c r="H48" s="38" t="str">
        <f t="shared" si="4"/>
        <v/>
      </c>
      <c r="I48" s="3"/>
      <c r="J48" s="3"/>
      <c r="K48" s="3"/>
      <c r="L48" s="3"/>
      <c r="M48" s="3"/>
      <c r="N48" s="3"/>
      <c r="O48" s="3"/>
      <c r="P48" s="3"/>
      <c r="Q48" s="3"/>
      <c r="R48" s="3"/>
      <c r="S48" s="3"/>
      <c r="T48" s="3"/>
      <c r="U48" s="3"/>
      <c r="V48" s="3"/>
      <c r="W48" s="3"/>
      <c r="X48" s="3"/>
      <c r="Y48" s="3"/>
      <c r="Z48" s="3"/>
    </row>
    <row r="49" ht="15.0" customHeight="1">
      <c r="A49" s="69"/>
      <c r="B49" s="69"/>
      <c r="C49" s="69"/>
      <c r="D49" s="69"/>
      <c r="E49" s="60" t="str">
        <f t="shared" si="1"/>
        <v/>
      </c>
      <c r="F49" s="60" t="str">
        <f t="shared" si="2"/>
        <v/>
      </c>
      <c r="G49" s="60" t="str">
        <f t="shared" si="3"/>
        <v/>
      </c>
      <c r="H49" s="60" t="str">
        <f t="shared" si="4"/>
        <v/>
      </c>
      <c r="I49" s="3"/>
      <c r="J49" s="3"/>
      <c r="K49" s="3"/>
      <c r="L49" s="3"/>
      <c r="M49" s="3"/>
      <c r="N49" s="3"/>
      <c r="O49" s="3"/>
      <c r="P49" s="3"/>
      <c r="Q49" s="3"/>
      <c r="R49" s="3"/>
      <c r="S49" s="3"/>
      <c r="T49" s="3"/>
      <c r="U49" s="3"/>
      <c r="V49" s="3"/>
      <c r="W49" s="3"/>
      <c r="X49" s="3"/>
      <c r="Y49" s="3"/>
      <c r="Z49" s="3"/>
    </row>
    <row r="50" ht="15.0" customHeight="1">
      <c r="A50" s="70"/>
      <c r="B50" s="70"/>
      <c r="C50" s="70"/>
      <c r="D50" s="70"/>
      <c r="E50" s="38" t="str">
        <f t="shared" si="1"/>
        <v/>
      </c>
      <c r="F50" s="38" t="str">
        <f t="shared" si="2"/>
        <v/>
      </c>
      <c r="G50" s="38" t="str">
        <f t="shared" si="3"/>
        <v/>
      </c>
      <c r="H50" s="38" t="str">
        <f t="shared" si="4"/>
        <v/>
      </c>
      <c r="I50" s="3"/>
      <c r="J50" s="3"/>
      <c r="K50" s="3"/>
      <c r="L50" s="3"/>
      <c r="M50" s="3"/>
      <c r="N50" s="3"/>
      <c r="O50" s="3"/>
      <c r="P50" s="3"/>
      <c r="Q50" s="3"/>
      <c r="R50" s="3"/>
      <c r="S50" s="3"/>
      <c r="T50" s="3"/>
      <c r="U50" s="3"/>
      <c r="V50" s="3"/>
      <c r="W50" s="3"/>
      <c r="X50" s="3"/>
      <c r="Y50" s="3"/>
      <c r="Z50" s="3"/>
    </row>
    <row r="51" ht="15.0" customHeight="1">
      <c r="A51" s="69"/>
      <c r="B51" s="69"/>
      <c r="C51" s="69"/>
      <c r="D51" s="69"/>
      <c r="E51" s="60" t="str">
        <f t="shared" si="1"/>
        <v/>
      </c>
      <c r="F51" s="60" t="str">
        <f t="shared" si="2"/>
        <v/>
      </c>
      <c r="G51" s="60" t="str">
        <f t="shared" si="3"/>
        <v/>
      </c>
      <c r="H51" s="60" t="str">
        <f t="shared" si="4"/>
        <v/>
      </c>
      <c r="I51" s="3"/>
      <c r="J51" s="3"/>
      <c r="K51" s="3"/>
      <c r="L51" s="3"/>
      <c r="M51" s="3"/>
      <c r="N51" s="3"/>
      <c r="O51" s="3"/>
      <c r="P51" s="3"/>
      <c r="Q51" s="3"/>
      <c r="R51" s="3"/>
      <c r="S51" s="3"/>
      <c r="T51" s="3"/>
      <c r="U51" s="3"/>
      <c r="V51" s="3"/>
      <c r="W51" s="3"/>
      <c r="X51" s="3"/>
      <c r="Y51" s="3"/>
      <c r="Z51" s="3"/>
    </row>
    <row r="52" ht="15.0" customHeight="1">
      <c r="A52" s="70"/>
      <c r="B52" s="70"/>
      <c r="C52" s="70"/>
      <c r="D52" s="70"/>
      <c r="E52" s="38" t="str">
        <f t="shared" si="1"/>
        <v/>
      </c>
      <c r="F52" s="38" t="str">
        <f t="shared" si="2"/>
        <v/>
      </c>
      <c r="G52" s="38" t="str">
        <f t="shared" si="3"/>
        <v/>
      </c>
      <c r="H52" s="38" t="str">
        <f t="shared" si="4"/>
        <v/>
      </c>
      <c r="I52" s="3"/>
      <c r="J52" s="3"/>
      <c r="K52" s="3"/>
      <c r="L52" s="3"/>
      <c r="M52" s="3"/>
      <c r="N52" s="3"/>
      <c r="O52" s="3"/>
      <c r="P52" s="3"/>
      <c r="Q52" s="3"/>
      <c r="R52" s="3"/>
      <c r="S52" s="3"/>
      <c r="T52" s="3"/>
      <c r="U52" s="3"/>
      <c r="V52" s="3"/>
      <c r="W52" s="3"/>
      <c r="X52" s="3"/>
      <c r="Y52" s="3"/>
      <c r="Z52" s="3"/>
    </row>
    <row r="53" ht="15.0" customHeight="1">
      <c r="A53" s="69"/>
      <c r="B53" s="69"/>
      <c r="C53" s="69"/>
      <c r="D53" s="69"/>
      <c r="E53" s="60" t="str">
        <f t="shared" si="1"/>
        <v/>
      </c>
      <c r="F53" s="60" t="str">
        <f t="shared" si="2"/>
        <v/>
      </c>
      <c r="G53" s="60" t="str">
        <f t="shared" si="3"/>
        <v/>
      </c>
      <c r="H53" s="60" t="str">
        <f t="shared" si="4"/>
        <v/>
      </c>
      <c r="I53" s="3"/>
      <c r="J53" s="3"/>
      <c r="K53" s="3"/>
      <c r="L53" s="3"/>
      <c r="M53" s="3"/>
      <c r="N53" s="3"/>
      <c r="O53" s="3"/>
      <c r="P53" s="3"/>
      <c r="Q53" s="3"/>
      <c r="R53" s="3"/>
      <c r="S53" s="3"/>
      <c r="T53" s="3"/>
      <c r="U53" s="3"/>
      <c r="V53" s="3"/>
      <c r="W53" s="3"/>
      <c r="X53" s="3"/>
      <c r="Y53" s="3"/>
      <c r="Z53" s="3"/>
    </row>
    <row r="54" ht="13.5" customHeight="1">
      <c r="A54" s="32"/>
      <c r="B54" s="32"/>
      <c r="C54" s="32"/>
      <c r="D54" s="32"/>
      <c r="E54" s="32"/>
      <c r="F54" s="32"/>
      <c r="G54" s="32"/>
      <c r="H54" s="32"/>
      <c r="I54" s="3"/>
      <c r="J54" s="3"/>
      <c r="K54" s="3"/>
      <c r="L54" s="3"/>
      <c r="M54" s="3"/>
      <c r="N54" s="3"/>
      <c r="O54" s="3"/>
      <c r="P54" s="3"/>
      <c r="Q54" s="3"/>
      <c r="R54" s="3"/>
      <c r="S54" s="3"/>
      <c r="T54" s="3"/>
      <c r="U54" s="3"/>
      <c r="V54" s="3"/>
      <c r="W54" s="3"/>
      <c r="X54" s="3"/>
      <c r="Y54" s="3"/>
      <c r="Z54" s="3"/>
    </row>
    <row r="55" ht="15.0" customHeight="1">
      <c r="A55" s="9" t="s">
        <v>356</v>
      </c>
      <c r="B55" s="12"/>
      <c r="C55" s="12"/>
      <c r="D55" s="12"/>
      <c r="E55" s="12"/>
      <c r="F55" s="12"/>
      <c r="G55" s="12"/>
      <c r="H55" s="1"/>
      <c r="I55" s="3"/>
      <c r="J55" s="3"/>
      <c r="K55" s="3"/>
      <c r="L55" s="3"/>
      <c r="M55" s="3"/>
      <c r="N55" s="3"/>
      <c r="O55" s="3"/>
      <c r="P55" s="3"/>
      <c r="Q55" s="3"/>
      <c r="R55" s="3"/>
      <c r="S55" s="3"/>
      <c r="T55" s="3"/>
      <c r="U55" s="3"/>
      <c r="V55" s="3"/>
      <c r="W55" s="3"/>
      <c r="X55" s="3"/>
      <c r="Y55" s="3"/>
      <c r="Z55" s="3"/>
    </row>
    <row r="56" ht="23.25" customHeight="1">
      <c r="A56" s="16" t="s">
        <v>304</v>
      </c>
      <c r="B56" s="16" t="s">
        <v>357</v>
      </c>
      <c r="C56" s="16" t="s">
        <v>358</v>
      </c>
      <c r="D56" s="16" t="s">
        <v>359</v>
      </c>
      <c r="E56" s="16" t="s">
        <v>360</v>
      </c>
      <c r="F56" s="16" t="s">
        <v>361</v>
      </c>
      <c r="G56" s="16" t="s">
        <v>362</v>
      </c>
      <c r="H56" s="18"/>
      <c r="I56" s="3"/>
      <c r="J56" s="3"/>
      <c r="K56" s="3"/>
      <c r="L56" s="3"/>
      <c r="M56" s="3"/>
      <c r="N56" s="3"/>
      <c r="O56" s="3"/>
      <c r="P56" s="3"/>
      <c r="Q56" s="3"/>
      <c r="R56" s="3"/>
      <c r="S56" s="3"/>
      <c r="T56" s="3"/>
      <c r="U56" s="3"/>
      <c r="V56" s="3"/>
      <c r="W56" s="3"/>
      <c r="X56" s="3"/>
      <c r="Y56" s="3"/>
      <c r="Z56" s="3"/>
    </row>
    <row r="57" ht="15.0" customHeight="1">
      <c r="A57" s="48" t="s">
        <v>312</v>
      </c>
      <c r="B57" s="65">
        <v>6.75</v>
      </c>
      <c r="C57" s="65">
        <v>6.0</v>
      </c>
      <c r="D57" s="65">
        <v>7.4</v>
      </c>
      <c r="E57" s="66">
        <f t="shared" ref="E57:E104" si="5">IF($B57="","",(D57-B57)*100)</f>
        <v>65</v>
      </c>
      <c r="F57" s="66">
        <f t="shared" ref="F57:F104" si="6">IF($B57="","",IFERROR(PERCENTRANK($B$57:$B$104,B57)*100,""))</f>
        <v>100</v>
      </c>
      <c r="G57" s="66">
        <f t="shared" ref="G57:G104" si="7">IF($B57="","",IFERROR(PERCENTRANK($E$57:$E$104,E57)*100,""))</f>
        <v>50</v>
      </c>
      <c r="H57" s="18"/>
      <c r="I57" s="3"/>
      <c r="J57" s="3"/>
      <c r="K57" s="3"/>
      <c r="L57" s="3"/>
      <c r="M57" s="3"/>
      <c r="N57" s="3"/>
      <c r="O57" s="3"/>
      <c r="P57" s="3"/>
      <c r="Q57" s="3"/>
      <c r="R57" s="3"/>
      <c r="S57" s="3"/>
      <c r="T57" s="3"/>
      <c r="U57" s="3"/>
      <c r="V57" s="3"/>
      <c r="W57" s="3"/>
      <c r="X57" s="3"/>
      <c r="Y57" s="3"/>
      <c r="Z57" s="3"/>
    </row>
    <row r="58" ht="15.0" customHeight="1">
      <c r="A58" s="51" t="s">
        <v>313</v>
      </c>
      <c r="B58" s="67">
        <v>6.68</v>
      </c>
      <c r="C58" s="67">
        <v>6.0</v>
      </c>
      <c r="D58" s="67">
        <v>7.3</v>
      </c>
      <c r="E58" s="68">
        <f t="shared" si="5"/>
        <v>62</v>
      </c>
      <c r="F58" s="68">
        <f t="shared" si="6"/>
        <v>0</v>
      </c>
      <c r="G58" s="68">
        <f t="shared" si="7"/>
        <v>0</v>
      </c>
      <c r="H58" s="18"/>
      <c r="I58" s="3"/>
      <c r="J58" s="3"/>
      <c r="K58" s="3"/>
      <c r="L58" s="3"/>
      <c r="M58" s="3"/>
      <c r="N58" s="3"/>
      <c r="O58" s="3"/>
      <c r="P58" s="3"/>
      <c r="Q58" s="3"/>
      <c r="R58" s="3"/>
      <c r="S58" s="3"/>
      <c r="T58" s="3"/>
      <c r="U58" s="3"/>
      <c r="V58" s="3"/>
      <c r="W58" s="3"/>
      <c r="X58" s="3"/>
      <c r="Y58" s="3"/>
      <c r="Z58" s="3"/>
    </row>
    <row r="59" ht="15.0" customHeight="1">
      <c r="A59" s="48" t="s">
        <v>314</v>
      </c>
      <c r="B59" s="65">
        <v>6.72</v>
      </c>
      <c r="C59" s="65">
        <v>5.75</v>
      </c>
      <c r="D59" s="65">
        <v>7.38</v>
      </c>
      <c r="E59" s="66">
        <f t="shared" si="5"/>
        <v>66</v>
      </c>
      <c r="F59" s="66">
        <f t="shared" si="6"/>
        <v>50</v>
      </c>
      <c r="G59" s="66">
        <f t="shared" si="7"/>
        <v>100</v>
      </c>
      <c r="H59" s="18"/>
      <c r="I59" s="3"/>
      <c r="J59" s="3"/>
      <c r="K59" s="3"/>
      <c r="L59" s="3"/>
      <c r="M59" s="3"/>
      <c r="N59" s="3"/>
      <c r="O59" s="3"/>
      <c r="P59" s="3"/>
      <c r="Q59" s="3"/>
      <c r="R59" s="3"/>
      <c r="S59" s="3"/>
      <c r="T59" s="3"/>
      <c r="U59" s="3"/>
      <c r="V59" s="3"/>
      <c r="W59" s="3"/>
      <c r="X59" s="3"/>
      <c r="Y59" s="3"/>
      <c r="Z59" s="3"/>
    </row>
    <row r="60" ht="15.0" customHeight="1">
      <c r="A60" s="69"/>
      <c r="B60" s="69"/>
      <c r="C60" s="69"/>
      <c r="D60" s="69"/>
      <c r="E60" s="60" t="str">
        <f t="shared" si="5"/>
        <v/>
      </c>
      <c r="F60" s="60" t="str">
        <f t="shared" si="6"/>
        <v/>
      </c>
      <c r="G60" s="60" t="str">
        <f t="shared" si="7"/>
        <v/>
      </c>
      <c r="H60" s="18"/>
      <c r="I60" s="3"/>
      <c r="J60" s="3"/>
      <c r="K60" s="3"/>
      <c r="L60" s="3"/>
      <c r="M60" s="3"/>
      <c r="N60" s="3"/>
      <c r="O60" s="3"/>
      <c r="P60" s="3"/>
      <c r="Q60" s="3"/>
      <c r="R60" s="3"/>
      <c r="S60" s="3"/>
      <c r="T60" s="3"/>
      <c r="U60" s="3"/>
      <c r="V60" s="3"/>
      <c r="W60" s="3"/>
      <c r="X60" s="3"/>
      <c r="Y60" s="3"/>
      <c r="Z60" s="3"/>
    </row>
    <row r="61" ht="15.0" customHeight="1">
      <c r="A61" s="70"/>
      <c r="B61" s="70"/>
      <c r="C61" s="70"/>
      <c r="D61" s="70"/>
      <c r="E61" s="38" t="str">
        <f t="shared" si="5"/>
        <v/>
      </c>
      <c r="F61" s="38" t="str">
        <f t="shared" si="6"/>
        <v/>
      </c>
      <c r="G61" s="38" t="str">
        <f t="shared" si="7"/>
        <v/>
      </c>
      <c r="H61" s="18"/>
      <c r="I61" s="3"/>
      <c r="J61" s="3"/>
      <c r="K61" s="3"/>
      <c r="L61" s="3"/>
      <c r="M61" s="3"/>
      <c r="N61" s="3"/>
      <c r="O61" s="3"/>
      <c r="P61" s="3"/>
      <c r="Q61" s="3"/>
      <c r="R61" s="3"/>
      <c r="S61" s="3"/>
      <c r="T61" s="3"/>
      <c r="U61" s="3"/>
      <c r="V61" s="3"/>
      <c r="W61" s="3"/>
      <c r="X61" s="3"/>
      <c r="Y61" s="3"/>
      <c r="Z61" s="3"/>
    </row>
    <row r="62" ht="15.0" customHeight="1">
      <c r="A62" s="69"/>
      <c r="B62" s="69"/>
      <c r="C62" s="69"/>
      <c r="D62" s="69"/>
      <c r="E62" s="60" t="str">
        <f t="shared" si="5"/>
        <v/>
      </c>
      <c r="F62" s="60" t="str">
        <f t="shared" si="6"/>
        <v/>
      </c>
      <c r="G62" s="60" t="str">
        <f t="shared" si="7"/>
        <v/>
      </c>
      <c r="H62" s="18"/>
      <c r="I62" s="3"/>
      <c r="J62" s="3"/>
      <c r="K62" s="3"/>
      <c r="L62" s="3"/>
      <c r="M62" s="3"/>
      <c r="N62" s="3"/>
      <c r="O62" s="3"/>
      <c r="P62" s="3"/>
      <c r="Q62" s="3"/>
      <c r="R62" s="3"/>
      <c r="S62" s="3"/>
      <c r="T62" s="3"/>
      <c r="U62" s="3"/>
      <c r="V62" s="3"/>
      <c r="W62" s="3"/>
      <c r="X62" s="3"/>
      <c r="Y62" s="3"/>
      <c r="Z62" s="3"/>
    </row>
    <row r="63" ht="15.0" customHeight="1">
      <c r="A63" s="70"/>
      <c r="B63" s="70"/>
      <c r="C63" s="70"/>
      <c r="D63" s="70"/>
      <c r="E63" s="38" t="str">
        <f t="shared" si="5"/>
        <v/>
      </c>
      <c r="F63" s="38" t="str">
        <f t="shared" si="6"/>
        <v/>
      </c>
      <c r="G63" s="38" t="str">
        <f t="shared" si="7"/>
        <v/>
      </c>
      <c r="H63" s="18"/>
      <c r="I63" s="3"/>
      <c r="J63" s="3"/>
      <c r="K63" s="3"/>
      <c r="L63" s="3"/>
      <c r="M63" s="3"/>
      <c r="N63" s="3"/>
      <c r="O63" s="3"/>
      <c r="P63" s="3"/>
      <c r="Q63" s="3"/>
      <c r="R63" s="3"/>
      <c r="S63" s="3"/>
      <c r="T63" s="3"/>
      <c r="U63" s="3"/>
      <c r="V63" s="3"/>
      <c r="W63" s="3"/>
      <c r="X63" s="3"/>
      <c r="Y63" s="3"/>
      <c r="Z63" s="3"/>
    </row>
    <row r="64" ht="15.0" customHeight="1">
      <c r="A64" s="69"/>
      <c r="B64" s="69"/>
      <c r="C64" s="69"/>
      <c r="D64" s="69"/>
      <c r="E64" s="60" t="str">
        <f t="shared" si="5"/>
        <v/>
      </c>
      <c r="F64" s="60" t="str">
        <f t="shared" si="6"/>
        <v/>
      </c>
      <c r="G64" s="60" t="str">
        <f t="shared" si="7"/>
        <v/>
      </c>
      <c r="H64" s="18"/>
      <c r="I64" s="3"/>
      <c r="J64" s="3"/>
      <c r="K64" s="3"/>
      <c r="L64" s="3"/>
      <c r="M64" s="3"/>
      <c r="N64" s="3"/>
      <c r="O64" s="3"/>
      <c r="P64" s="3"/>
      <c r="Q64" s="3"/>
      <c r="R64" s="3"/>
      <c r="S64" s="3"/>
      <c r="T64" s="3"/>
      <c r="U64" s="3"/>
      <c r="V64" s="3"/>
      <c r="W64" s="3"/>
      <c r="X64" s="3"/>
      <c r="Y64" s="3"/>
      <c r="Z64" s="3"/>
    </row>
    <row r="65" ht="15.0" customHeight="1">
      <c r="A65" s="70"/>
      <c r="B65" s="70"/>
      <c r="C65" s="70"/>
      <c r="D65" s="70"/>
      <c r="E65" s="38" t="str">
        <f t="shared" si="5"/>
        <v/>
      </c>
      <c r="F65" s="38" t="str">
        <f t="shared" si="6"/>
        <v/>
      </c>
      <c r="G65" s="38" t="str">
        <f t="shared" si="7"/>
        <v/>
      </c>
      <c r="H65" s="18"/>
      <c r="I65" s="3"/>
      <c r="J65" s="3"/>
      <c r="K65" s="3"/>
      <c r="L65" s="3"/>
      <c r="M65" s="3"/>
      <c r="N65" s="3"/>
      <c r="O65" s="3"/>
      <c r="P65" s="3"/>
      <c r="Q65" s="3"/>
      <c r="R65" s="3"/>
      <c r="S65" s="3"/>
      <c r="T65" s="3"/>
      <c r="U65" s="3"/>
      <c r="V65" s="3"/>
      <c r="W65" s="3"/>
      <c r="X65" s="3"/>
      <c r="Y65" s="3"/>
      <c r="Z65" s="3"/>
    </row>
    <row r="66" ht="15.0" customHeight="1">
      <c r="A66" s="69"/>
      <c r="B66" s="69"/>
      <c r="C66" s="69"/>
      <c r="D66" s="69"/>
      <c r="E66" s="60" t="str">
        <f t="shared" si="5"/>
        <v/>
      </c>
      <c r="F66" s="60" t="str">
        <f t="shared" si="6"/>
        <v/>
      </c>
      <c r="G66" s="60" t="str">
        <f t="shared" si="7"/>
        <v/>
      </c>
      <c r="H66" s="18"/>
      <c r="I66" s="3"/>
      <c r="J66" s="3"/>
      <c r="K66" s="3"/>
      <c r="L66" s="3"/>
      <c r="M66" s="3"/>
      <c r="N66" s="3"/>
      <c r="O66" s="3"/>
      <c r="P66" s="3"/>
      <c r="Q66" s="3"/>
      <c r="R66" s="3"/>
      <c r="S66" s="3"/>
      <c r="T66" s="3"/>
      <c r="U66" s="3"/>
      <c r="V66" s="3"/>
      <c r="W66" s="3"/>
      <c r="X66" s="3"/>
      <c r="Y66" s="3"/>
      <c r="Z66" s="3"/>
    </row>
    <row r="67" ht="15.0" customHeight="1">
      <c r="A67" s="70"/>
      <c r="B67" s="70"/>
      <c r="C67" s="70"/>
      <c r="D67" s="70"/>
      <c r="E67" s="38" t="str">
        <f t="shared" si="5"/>
        <v/>
      </c>
      <c r="F67" s="38" t="str">
        <f t="shared" si="6"/>
        <v/>
      </c>
      <c r="G67" s="38" t="str">
        <f t="shared" si="7"/>
        <v/>
      </c>
      <c r="H67" s="18"/>
      <c r="I67" s="3"/>
      <c r="J67" s="3"/>
      <c r="K67" s="3"/>
      <c r="L67" s="3"/>
      <c r="M67" s="3"/>
      <c r="N67" s="3"/>
      <c r="O67" s="3"/>
      <c r="P67" s="3"/>
      <c r="Q67" s="3"/>
      <c r="R67" s="3"/>
      <c r="S67" s="3"/>
      <c r="T67" s="3"/>
      <c r="U67" s="3"/>
      <c r="V67" s="3"/>
      <c r="W67" s="3"/>
      <c r="X67" s="3"/>
      <c r="Y67" s="3"/>
      <c r="Z67" s="3"/>
    </row>
    <row r="68" ht="15.0" customHeight="1">
      <c r="A68" s="69"/>
      <c r="B68" s="69"/>
      <c r="C68" s="69"/>
      <c r="D68" s="69"/>
      <c r="E68" s="60" t="str">
        <f t="shared" si="5"/>
        <v/>
      </c>
      <c r="F68" s="60" t="str">
        <f t="shared" si="6"/>
        <v/>
      </c>
      <c r="G68" s="60" t="str">
        <f t="shared" si="7"/>
        <v/>
      </c>
      <c r="H68" s="18"/>
      <c r="I68" s="3"/>
      <c r="J68" s="3"/>
      <c r="K68" s="3"/>
      <c r="L68" s="3"/>
      <c r="M68" s="3"/>
      <c r="N68" s="3"/>
      <c r="O68" s="3"/>
      <c r="P68" s="3"/>
      <c r="Q68" s="3"/>
      <c r="R68" s="3"/>
      <c r="S68" s="3"/>
      <c r="T68" s="3"/>
      <c r="U68" s="3"/>
      <c r="V68" s="3"/>
      <c r="W68" s="3"/>
      <c r="X68" s="3"/>
      <c r="Y68" s="3"/>
      <c r="Z68" s="3"/>
    </row>
    <row r="69" ht="15.0" customHeight="1">
      <c r="A69" s="70"/>
      <c r="B69" s="70"/>
      <c r="C69" s="70"/>
      <c r="D69" s="70"/>
      <c r="E69" s="38" t="str">
        <f t="shared" si="5"/>
        <v/>
      </c>
      <c r="F69" s="38" t="str">
        <f t="shared" si="6"/>
        <v/>
      </c>
      <c r="G69" s="38" t="str">
        <f t="shared" si="7"/>
        <v/>
      </c>
      <c r="H69" s="18"/>
      <c r="I69" s="3"/>
      <c r="J69" s="3"/>
      <c r="K69" s="3"/>
      <c r="L69" s="3"/>
      <c r="M69" s="3"/>
      <c r="N69" s="3"/>
      <c r="O69" s="3"/>
      <c r="P69" s="3"/>
      <c r="Q69" s="3"/>
      <c r="R69" s="3"/>
      <c r="S69" s="3"/>
      <c r="T69" s="3"/>
      <c r="U69" s="3"/>
      <c r="V69" s="3"/>
      <c r="W69" s="3"/>
      <c r="X69" s="3"/>
      <c r="Y69" s="3"/>
      <c r="Z69" s="3"/>
    </row>
    <row r="70" ht="15.0" customHeight="1">
      <c r="A70" s="69"/>
      <c r="B70" s="69"/>
      <c r="C70" s="69"/>
      <c r="D70" s="69"/>
      <c r="E70" s="60" t="str">
        <f t="shared" si="5"/>
        <v/>
      </c>
      <c r="F70" s="60" t="str">
        <f t="shared" si="6"/>
        <v/>
      </c>
      <c r="G70" s="60" t="str">
        <f t="shared" si="7"/>
        <v/>
      </c>
      <c r="H70" s="18"/>
      <c r="I70" s="3"/>
      <c r="J70" s="3"/>
      <c r="K70" s="3"/>
      <c r="L70" s="3"/>
      <c r="M70" s="3"/>
      <c r="N70" s="3"/>
      <c r="O70" s="3"/>
      <c r="P70" s="3"/>
      <c r="Q70" s="3"/>
      <c r="R70" s="3"/>
      <c r="S70" s="3"/>
      <c r="T70" s="3"/>
      <c r="U70" s="3"/>
      <c r="V70" s="3"/>
      <c r="W70" s="3"/>
      <c r="X70" s="3"/>
      <c r="Y70" s="3"/>
      <c r="Z70" s="3"/>
    </row>
    <row r="71" ht="15.0" customHeight="1">
      <c r="A71" s="70"/>
      <c r="B71" s="70"/>
      <c r="C71" s="70"/>
      <c r="D71" s="70"/>
      <c r="E71" s="38" t="str">
        <f t="shared" si="5"/>
        <v/>
      </c>
      <c r="F71" s="38" t="str">
        <f t="shared" si="6"/>
        <v/>
      </c>
      <c r="G71" s="38" t="str">
        <f t="shared" si="7"/>
        <v/>
      </c>
      <c r="H71" s="18"/>
      <c r="I71" s="3"/>
      <c r="J71" s="3"/>
      <c r="K71" s="3"/>
      <c r="L71" s="3"/>
      <c r="M71" s="3"/>
      <c r="N71" s="3"/>
      <c r="O71" s="3"/>
      <c r="P71" s="3"/>
      <c r="Q71" s="3"/>
      <c r="R71" s="3"/>
      <c r="S71" s="3"/>
      <c r="T71" s="3"/>
      <c r="U71" s="3"/>
      <c r="V71" s="3"/>
      <c r="W71" s="3"/>
      <c r="X71" s="3"/>
      <c r="Y71" s="3"/>
      <c r="Z71" s="3"/>
    </row>
    <row r="72" ht="15.0" customHeight="1">
      <c r="A72" s="69"/>
      <c r="B72" s="69"/>
      <c r="C72" s="69"/>
      <c r="D72" s="69"/>
      <c r="E72" s="60" t="str">
        <f t="shared" si="5"/>
        <v/>
      </c>
      <c r="F72" s="60" t="str">
        <f t="shared" si="6"/>
        <v/>
      </c>
      <c r="G72" s="60" t="str">
        <f t="shared" si="7"/>
        <v/>
      </c>
      <c r="H72" s="18"/>
      <c r="I72" s="3"/>
      <c r="J72" s="3"/>
      <c r="K72" s="3"/>
      <c r="L72" s="3"/>
      <c r="M72" s="3"/>
      <c r="N72" s="3"/>
      <c r="O72" s="3"/>
      <c r="P72" s="3"/>
      <c r="Q72" s="3"/>
      <c r="R72" s="3"/>
      <c r="S72" s="3"/>
      <c r="T72" s="3"/>
      <c r="U72" s="3"/>
      <c r="V72" s="3"/>
      <c r="W72" s="3"/>
      <c r="X72" s="3"/>
      <c r="Y72" s="3"/>
      <c r="Z72" s="3"/>
    </row>
    <row r="73" ht="15.0" customHeight="1">
      <c r="A73" s="70"/>
      <c r="B73" s="70"/>
      <c r="C73" s="70"/>
      <c r="D73" s="70"/>
      <c r="E73" s="38" t="str">
        <f t="shared" si="5"/>
        <v/>
      </c>
      <c r="F73" s="38" t="str">
        <f t="shared" si="6"/>
        <v/>
      </c>
      <c r="G73" s="38" t="str">
        <f t="shared" si="7"/>
        <v/>
      </c>
      <c r="H73" s="18"/>
      <c r="I73" s="3"/>
      <c r="J73" s="3"/>
      <c r="K73" s="3"/>
      <c r="L73" s="3"/>
      <c r="M73" s="3"/>
      <c r="N73" s="3"/>
      <c r="O73" s="3"/>
      <c r="P73" s="3"/>
      <c r="Q73" s="3"/>
      <c r="R73" s="3"/>
      <c r="S73" s="3"/>
      <c r="T73" s="3"/>
      <c r="U73" s="3"/>
      <c r="V73" s="3"/>
      <c r="W73" s="3"/>
      <c r="X73" s="3"/>
      <c r="Y73" s="3"/>
      <c r="Z73" s="3"/>
    </row>
    <row r="74" ht="15.0" customHeight="1">
      <c r="A74" s="69"/>
      <c r="B74" s="69"/>
      <c r="C74" s="69"/>
      <c r="D74" s="69"/>
      <c r="E74" s="60" t="str">
        <f t="shared" si="5"/>
        <v/>
      </c>
      <c r="F74" s="60" t="str">
        <f t="shared" si="6"/>
        <v/>
      </c>
      <c r="G74" s="60" t="str">
        <f t="shared" si="7"/>
        <v/>
      </c>
      <c r="H74" s="18"/>
      <c r="I74" s="3"/>
      <c r="J74" s="3"/>
      <c r="K74" s="3"/>
      <c r="L74" s="3"/>
      <c r="M74" s="3"/>
      <c r="N74" s="3"/>
      <c r="O74" s="3"/>
      <c r="P74" s="3"/>
      <c r="Q74" s="3"/>
      <c r="R74" s="3"/>
      <c r="S74" s="3"/>
      <c r="T74" s="3"/>
      <c r="U74" s="3"/>
      <c r="V74" s="3"/>
      <c r="W74" s="3"/>
      <c r="X74" s="3"/>
      <c r="Y74" s="3"/>
      <c r="Z74" s="3"/>
    </row>
    <row r="75" ht="15.0" customHeight="1">
      <c r="A75" s="70"/>
      <c r="B75" s="70"/>
      <c r="C75" s="70"/>
      <c r="D75" s="70"/>
      <c r="E75" s="38" t="str">
        <f t="shared" si="5"/>
        <v/>
      </c>
      <c r="F75" s="38" t="str">
        <f t="shared" si="6"/>
        <v/>
      </c>
      <c r="G75" s="38" t="str">
        <f t="shared" si="7"/>
        <v/>
      </c>
      <c r="H75" s="18"/>
      <c r="I75" s="3"/>
      <c r="J75" s="3"/>
      <c r="K75" s="3"/>
      <c r="L75" s="3"/>
      <c r="M75" s="3"/>
      <c r="N75" s="3"/>
      <c r="O75" s="3"/>
      <c r="P75" s="3"/>
      <c r="Q75" s="3"/>
      <c r="R75" s="3"/>
      <c r="S75" s="3"/>
      <c r="T75" s="3"/>
      <c r="U75" s="3"/>
      <c r="V75" s="3"/>
      <c r="W75" s="3"/>
      <c r="X75" s="3"/>
      <c r="Y75" s="3"/>
      <c r="Z75" s="3"/>
    </row>
    <row r="76" ht="15.0" customHeight="1">
      <c r="A76" s="69"/>
      <c r="B76" s="69"/>
      <c r="C76" s="69"/>
      <c r="D76" s="69"/>
      <c r="E76" s="60" t="str">
        <f t="shared" si="5"/>
        <v/>
      </c>
      <c r="F76" s="60" t="str">
        <f t="shared" si="6"/>
        <v/>
      </c>
      <c r="G76" s="60" t="str">
        <f t="shared" si="7"/>
        <v/>
      </c>
      <c r="H76" s="18"/>
      <c r="I76" s="3"/>
      <c r="J76" s="3"/>
      <c r="K76" s="3"/>
      <c r="L76" s="3"/>
      <c r="M76" s="3"/>
      <c r="N76" s="3"/>
      <c r="O76" s="3"/>
      <c r="P76" s="3"/>
      <c r="Q76" s="3"/>
      <c r="R76" s="3"/>
      <c r="S76" s="3"/>
      <c r="T76" s="3"/>
      <c r="U76" s="3"/>
      <c r="V76" s="3"/>
      <c r="W76" s="3"/>
      <c r="X76" s="3"/>
      <c r="Y76" s="3"/>
      <c r="Z76" s="3"/>
    </row>
    <row r="77" ht="15.0" customHeight="1">
      <c r="A77" s="70"/>
      <c r="B77" s="70"/>
      <c r="C77" s="70"/>
      <c r="D77" s="70"/>
      <c r="E77" s="38" t="str">
        <f t="shared" si="5"/>
        <v/>
      </c>
      <c r="F77" s="38" t="str">
        <f t="shared" si="6"/>
        <v/>
      </c>
      <c r="G77" s="38" t="str">
        <f t="shared" si="7"/>
        <v/>
      </c>
      <c r="H77" s="18"/>
      <c r="I77" s="3"/>
      <c r="J77" s="3"/>
      <c r="K77" s="3"/>
      <c r="L77" s="3"/>
      <c r="M77" s="3"/>
      <c r="N77" s="3"/>
      <c r="O77" s="3"/>
      <c r="P77" s="3"/>
      <c r="Q77" s="3"/>
      <c r="R77" s="3"/>
      <c r="S77" s="3"/>
      <c r="T77" s="3"/>
      <c r="U77" s="3"/>
      <c r="V77" s="3"/>
      <c r="W77" s="3"/>
      <c r="X77" s="3"/>
      <c r="Y77" s="3"/>
      <c r="Z77" s="3"/>
    </row>
    <row r="78" ht="15.0" customHeight="1">
      <c r="A78" s="69"/>
      <c r="B78" s="69"/>
      <c r="C78" s="69"/>
      <c r="D78" s="69"/>
      <c r="E78" s="60" t="str">
        <f t="shared" si="5"/>
        <v/>
      </c>
      <c r="F78" s="60" t="str">
        <f t="shared" si="6"/>
        <v/>
      </c>
      <c r="G78" s="60" t="str">
        <f t="shared" si="7"/>
        <v/>
      </c>
      <c r="H78" s="18"/>
      <c r="I78" s="3"/>
      <c r="J78" s="3"/>
      <c r="K78" s="3"/>
      <c r="L78" s="3"/>
      <c r="M78" s="3"/>
      <c r="N78" s="3"/>
      <c r="O78" s="3"/>
      <c r="P78" s="3"/>
      <c r="Q78" s="3"/>
      <c r="R78" s="3"/>
      <c r="S78" s="3"/>
      <c r="T78" s="3"/>
      <c r="U78" s="3"/>
      <c r="V78" s="3"/>
      <c r="W78" s="3"/>
      <c r="X78" s="3"/>
      <c r="Y78" s="3"/>
      <c r="Z78" s="3"/>
    </row>
    <row r="79" ht="15.0" customHeight="1">
      <c r="A79" s="70"/>
      <c r="B79" s="70"/>
      <c r="C79" s="70"/>
      <c r="D79" s="70"/>
      <c r="E79" s="38" t="str">
        <f t="shared" si="5"/>
        <v/>
      </c>
      <c r="F79" s="38" t="str">
        <f t="shared" si="6"/>
        <v/>
      </c>
      <c r="G79" s="38" t="str">
        <f t="shared" si="7"/>
        <v/>
      </c>
      <c r="H79" s="18"/>
      <c r="I79" s="3"/>
      <c r="J79" s="3"/>
      <c r="K79" s="3"/>
      <c r="L79" s="3"/>
      <c r="M79" s="3"/>
      <c r="N79" s="3"/>
      <c r="O79" s="3"/>
      <c r="P79" s="3"/>
      <c r="Q79" s="3"/>
      <c r="R79" s="3"/>
      <c r="S79" s="3"/>
      <c r="T79" s="3"/>
      <c r="U79" s="3"/>
      <c r="V79" s="3"/>
      <c r="W79" s="3"/>
      <c r="X79" s="3"/>
      <c r="Y79" s="3"/>
      <c r="Z79" s="3"/>
    </row>
    <row r="80" ht="15.0" customHeight="1">
      <c r="A80" s="69"/>
      <c r="B80" s="69"/>
      <c r="C80" s="69"/>
      <c r="D80" s="69"/>
      <c r="E80" s="60" t="str">
        <f t="shared" si="5"/>
        <v/>
      </c>
      <c r="F80" s="60" t="str">
        <f t="shared" si="6"/>
        <v/>
      </c>
      <c r="G80" s="60" t="str">
        <f t="shared" si="7"/>
        <v/>
      </c>
      <c r="H80" s="18"/>
      <c r="I80" s="3"/>
      <c r="J80" s="3"/>
      <c r="K80" s="3"/>
      <c r="L80" s="3"/>
      <c r="M80" s="3"/>
      <c r="N80" s="3"/>
      <c r="O80" s="3"/>
      <c r="P80" s="3"/>
      <c r="Q80" s="3"/>
      <c r="R80" s="3"/>
      <c r="S80" s="3"/>
      <c r="T80" s="3"/>
      <c r="U80" s="3"/>
      <c r="V80" s="3"/>
      <c r="W80" s="3"/>
      <c r="X80" s="3"/>
      <c r="Y80" s="3"/>
      <c r="Z80" s="3"/>
    </row>
    <row r="81" ht="15.0" customHeight="1">
      <c r="A81" s="70"/>
      <c r="B81" s="70"/>
      <c r="C81" s="70"/>
      <c r="D81" s="70"/>
      <c r="E81" s="38" t="str">
        <f t="shared" si="5"/>
        <v/>
      </c>
      <c r="F81" s="38" t="str">
        <f t="shared" si="6"/>
        <v/>
      </c>
      <c r="G81" s="38" t="str">
        <f t="shared" si="7"/>
        <v/>
      </c>
      <c r="H81" s="18"/>
      <c r="I81" s="3"/>
      <c r="J81" s="3"/>
      <c r="K81" s="3"/>
      <c r="L81" s="3"/>
      <c r="M81" s="3"/>
      <c r="N81" s="3"/>
      <c r="O81" s="3"/>
      <c r="P81" s="3"/>
      <c r="Q81" s="3"/>
      <c r="R81" s="3"/>
      <c r="S81" s="3"/>
      <c r="T81" s="3"/>
      <c r="U81" s="3"/>
      <c r="V81" s="3"/>
      <c r="W81" s="3"/>
      <c r="X81" s="3"/>
      <c r="Y81" s="3"/>
      <c r="Z81" s="3"/>
    </row>
    <row r="82" ht="15.0" customHeight="1">
      <c r="A82" s="69"/>
      <c r="B82" s="69"/>
      <c r="C82" s="69"/>
      <c r="D82" s="69"/>
      <c r="E82" s="60" t="str">
        <f t="shared" si="5"/>
        <v/>
      </c>
      <c r="F82" s="60" t="str">
        <f t="shared" si="6"/>
        <v/>
      </c>
      <c r="G82" s="60" t="str">
        <f t="shared" si="7"/>
        <v/>
      </c>
      <c r="H82" s="18"/>
      <c r="I82" s="3"/>
      <c r="J82" s="3"/>
      <c r="K82" s="3"/>
      <c r="L82" s="3"/>
      <c r="M82" s="3"/>
      <c r="N82" s="3"/>
      <c r="O82" s="3"/>
      <c r="P82" s="3"/>
      <c r="Q82" s="3"/>
      <c r="R82" s="3"/>
      <c r="S82" s="3"/>
      <c r="T82" s="3"/>
      <c r="U82" s="3"/>
      <c r="V82" s="3"/>
      <c r="W82" s="3"/>
      <c r="X82" s="3"/>
      <c r="Y82" s="3"/>
      <c r="Z82" s="3"/>
    </row>
    <row r="83" ht="15.0" customHeight="1">
      <c r="A83" s="70"/>
      <c r="B83" s="70"/>
      <c r="C83" s="70"/>
      <c r="D83" s="70"/>
      <c r="E83" s="38" t="str">
        <f t="shared" si="5"/>
        <v/>
      </c>
      <c r="F83" s="38" t="str">
        <f t="shared" si="6"/>
        <v/>
      </c>
      <c r="G83" s="38" t="str">
        <f t="shared" si="7"/>
        <v/>
      </c>
      <c r="H83" s="18"/>
      <c r="I83" s="3"/>
      <c r="J83" s="3"/>
      <c r="K83" s="3"/>
      <c r="L83" s="3"/>
      <c r="M83" s="3"/>
      <c r="N83" s="3"/>
      <c r="O83" s="3"/>
      <c r="P83" s="3"/>
      <c r="Q83" s="3"/>
      <c r="R83" s="3"/>
      <c r="S83" s="3"/>
      <c r="T83" s="3"/>
      <c r="U83" s="3"/>
      <c r="V83" s="3"/>
      <c r="W83" s="3"/>
      <c r="X83" s="3"/>
      <c r="Y83" s="3"/>
      <c r="Z83" s="3"/>
    </row>
    <row r="84" ht="15.0" customHeight="1">
      <c r="A84" s="69"/>
      <c r="B84" s="69"/>
      <c r="C84" s="69"/>
      <c r="D84" s="69"/>
      <c r="E84" s="60" t="str">
        <f t="shared" si="5"/>
        <v/>
      </c>
      <c r="F84" s="60" t="str">
        <f t="shared" si="6"/>
        <v/>
      </c>
      <c r="G84" s="60" t="str">
        <f t="shared" si="7"/>
        <v/>
      </c>
      <c r="H84" s="18"/>
      <c r="I84" s="3"/>
      <c r="J84" s="3"/>
      <c r="K84" s="3"/>
      <c r="L84" s="3"/>
      <c r="M84" s="3"/>
      <c r="N84" s="3"/>
      <c r="O84" s="3"/>
      <c r="P84" s="3"/>
      <c r="Q84" s="3"/>
      <c r="R84" s="3"/>
      <c r="S84" s="3"/>
      <c r="T84" s="3"/>
      <c r="U84" s="3"/>
      <c r="V84" s="3"/>
      <c r="W84" s="3"/>
      <c r="X84" s="3"/>
      <c r="Y84" s="3"/>
      <c r="Z84" s="3"/>
    </row>
    <row r="85" ht="15.0" customHeight="1">
      <c r="A85" s="70"/>
      <c r="B85" s="70"/>
      <c r="C85" s="70"/>
      <c r="D85" s="70"/>
      <c r="E85" s="38" t="str">
        <f t="shared" si="5"/>
        <v/>
      </c>
      <c r="F85" s="38" t="str">
        <f t="shared" si="6"/>
        <v/>
      </c>
      <c r="G85" s="38" t="str">
        <f t="shared" si="7"/>
        <v/>
      </c>
      <c r="H85" s="18"/>
      <c r="I85" s="3"/>
      <c r="J85" s="3"/>
      <c r="K85" s="3"/>
      <c r="L85" s="3"/>
      <c r="M85" s="3"/>
      <c r="N85" s="3"/>
      <c r="O85" s="3"/>
      <c r="P85" s="3"/>
      <c r="Q85" s="3"/>
      <c r="R85" s="3"/>
      <c r="S85" s="3"/>
      <c r="T85" s="3"/>
      <c r="U85" s="3"/>
      <c r="V85" s="3"/>
      <c r="W85" s="3"/>
      <c r="X85" s="3"/>
      <c r="Y85" s="3"/>
      <c r="Z85" s="3"/>
    </row>
    <row r="86" ht="15.0" customHeight="1">
      <c r="A86" s="69"/>
      <c r="B86" s="69"/>
      <c r="C86" s="69"/>
      <c r="D86" s="69"/>
      <c r="E86" s="60" t="str">
        <f t="shared" si="5"/>
        <v/>
      </c>
      <c r="F86" s="60" t="str">
        <f t="shared" si="6"/>
        <v/>
      </c>
      <c r="G86" s="60" t="str">
        <f t="shared" si="7"/>
        <v/>
      </c>
      <c r="H86" s="18"/>
      <c r="I86" s="3"/>
      <c r="J86" s="3"/>
      <c r="K86" s="3"/>
      <c r="L86" s="3"/>
      <c r="M86" s="3"/>
      <c r="N86" s="3"/>
      <c r="O86" s="3"/>
      <c r="P86" s="3"/>
      <c r="Q86" s="3"/>
      <c r="R86" s="3"/>
      <c r="S86" s="3"/>
      <c r="T86" s="3"/>
      <c r="U86" s="3"/>
      <c r="V86" s="3"/>
      <c r="W86" s="3"/>
      <c r="X86" s="3"/>
      <c r="Y86" s="3"/>
      <c r="Z86" s="3"/>
    </row>
    <row r="87" ht="15.0" customHeight="1">
      <c r="A87" s="70"/>
      <c r="B87" s="70"/>
      <c r="C87" s="70"/>
      <c r="D87" s="70"/>
      <c r="E87" s="38" t="str">
        <f t="shared" si="5"/>
        <v/>
      </c>
      <c r="F87" s="38" t="str">
        <f t="shared" si="6"/>
        <v/>
      </c>
      <c r="G87" s="38" t="str">
        <f t="shared" si="7"/>
        <v/>
      </c>
      <c r="H87" s="18"/>
      <c r="I87" s="3"/>
      <c r="J87" s="3"/>
      <c r="K87" s="3"/>
      <c r="L87" s="3"/>
      <c r="M87" s="3"/>
      <c r="N87" s="3"/>
      <c r="O87" s="3"/>
      <c r="P87" s="3"/>
      <c r="Q87" s="3"/>
      <c r="R87" s="3"/>
      <c r="S87" s="3"/>
      <c r="T87" s="3"/>
      <c r="U87" s="3"/>
      <c r="V87" s="3"/>
      <c r="W87" s="3"/>
      <c r="X87" s="3"/>
      <c r="Y87" s="3"/>
      <c r="Z87" s="3"/>
    </row>
    <row r="88" ht="15.0" customHeight="1">
      <c r="A88" s="69"/>
      <c r="B88" s="69"/>
      <c r="C88" s="69"/>
      <c r="D88" s="69"/>
      <c r="E88" s="60" t="str">
        <f t="shared" si="5"/>
        <v/>
      </c>
      <c r="F88" s="60" t="str">
        <f t="shared" si="6"/>
        <v/>
      </c>
      <c r="G88" s="60" t="str">
        <f t="shared" si="7"/>
        <v/>
      </c>
      <c r="H88" s="18"/>
      <c r="I88" s="3"/>
      <c r="J88" s="3"/>
      <c r="K88" s="3"/>
      <c r="L88" s="3"/>
      <c r="M88" s="3"/>
      <c r="N88" s="3"/>
      <c r="O88" s="3"/>
      <c r="P88" s="3"/>
      <c r="Q88" s="3"/>
      <c r="R88" s="3"/>
      <c r="S88" s="3"/>
      <c r="T88" s="3"/>
      <c r="U88" s="3"/>
      <c r="V88" s="3"/>
      <c r="W88" s="3"/>
      <c r="X88" s="3"/>
      <c r="Y88" s="3"/>
      <c r="Z88" s="3"/>
    </row>
    <row r="89" ht="15.0" customHeight="1">
      <c r="A89" s="70"/>
      <c r="B89" s="70"/>
      <c r="C89" s="70"/>
      <c r="D89" s="70"/>
      <c r="E89" s="38" t="str">
        <f t="shared" si="5"/>
        <v/>
      </c>
      <c r="F89" s="38" t="str">
        <f t="shared" si="6"/>
        <v/>
      </c>
      <c r="G89" s="38" t="str">
        <f t="shared" si="7"/>
        <v/>
      </c>
      <c r="H89" s="18"/>
      <c r="I89" s="3"/>
      <c r="J89" s="3"/>
      <c r="K89" s="3"/>
      <c r="L89" s="3"/>
      <c r="M89" s="3"/>
      <c r="N89" s="3"/>
      <c r="O89" s="3"/>
      <c r="P89" s="3"/>
      <c r="Q89" s="3"/>
      <c r="R89" s="3"/>
      <c r="S89" s="3"/>
      <c r="T89" s="3"/>
      <c r="U89" s="3"/>
      <c r="V89" s="3"/>
      <c r="W89" s="3"/>
      <c r="X89" s="3"/>
      <c r="Y89" s="3"/>
      <c r="Z89" s="3"/>
    </row>
    <row r="90" ht="15.0" customHeight="1">
      <c r="A90" s="69"/>
      <c r="B90" s="69"/>
      <c r="C90" s="69"/>
      <c r="D90" s="69"/>
      <c r="E90" s="60" t="str">
        <f t="shared" si="5"/>
        <v/>
      </c>
      <c r="F90" s="60" t="str">
        <f t="shared" si="6"/>
        <v/>
      </c>
      <c r="G90" s="60" t="str">
        <f t="shared" si="7"/>
        <v/>
      </c>
      <c r="H90" s="18"/>
      <c r="I90" s="3"/>
      <c r="J90" s="3"/>
      <c r="K90" s="3"/>
      <c r="L90" s="3"/>
      <c r="M90" s="3"/>
      <c r="N90" s="3"/>
      <c r="O90" s="3"/>
      <c r="P90" s="3"/>
      <c r="Q90" s="3"/>
      <c r="R90" s="3"/>
      <c r="S90" s="3"/>
      <c r="T90" s="3"/>
      <c r="U90" s="3"/>
      <c r="V90" s="3"/>
      <c r="W90" s="3"/>
      <c r="X90" s="3"/>
      <c r="Y90" s="3"/>
      <c r="Z90" s="3"/>
    </row>
    <row r="91" ht="15.0" customHeight="1">
      <c r="A91" s="70"/>
      <c r="B91" s="70"/>
      <c r="C91" s="70"/>
      <c r="D91" s="70"/>
      <c r="E91" s="38" t="str">
        <f t="shared" si="5"/>
        <v/>
      </c>
      <c r="F91" s="38" t="str">
        <f t="shared" si="6"/>
        <v/>
      </c>
      <c r="G91" s="38" t="str">
        <f t="shared" si="7"/>
        <v/>
      </c>
      <c r="H91" s="18"/>
      <c r="I91" s="3"/>
      <c r="J91" s="3"/>
      <c r="K91" s="3"/>
      <c r="L91" s="3"/>
      <c r="M91" s="3"/>
      <c r="N91" s="3"/>
      <c r="O91" s="3"/>
      <c r="P91" s="3"/>
      <c r="Q91" s="3"/>
      <c r="R91" s="3"/>
      <c r="S91" s="3"/>
      <c r="T91" s="3"/>
      <c r="U91" s="3"/>
      <c r="V91" s="3"/>
      <c r="W91" s="3"/>
      <c r="X91" s="3"/>
      <c r="Y91" s="3"/>
      <c r="Z91" s="3"/>
    </row>
    <row r="92" ht="15.0" customHeight="1">
      <c r="A92" s="69"/>
      <c r="B92" s="69"/>
      <c r="C92" s="69"/>
      <c r="D92" s="69"/>
      <c r="E92" s="60" t="str">
        <f t="shared" si="5"/>
        <v/>
      </c>
      <c r="F92" s="60" t="str">
        <f t="shared" si="6"/>
        <v/>
      </c>
      <c r="G92" s="60" t="str">
        <f t="shared" si="7"/>
        <v/>
      </c>
      <c r="H92" s="18"/>
      <c r="I92" s="3"/>
      <c r="J92" s="3"/>
      <c r="K92" s="3"/>
      <c r="L92" s="3"/>
      <c r="M92" s="3"/>
      <c r="N92" s="3"/>
      <c r="O92" s="3"/>
      <c r="P92" s="3"/>
      <c r="Q92" s="3"/>
      <c r="R92" s="3"/>
      <c r="S92" s="3"/>
      <c r="T92" s="3"/>
      <c r="U92" s="3"/>
      <c r="V92" s="3"/>
      <c r="W92" s="3"/>
      <c r="X92" s="3"/>
      <c r="Y92" s="3"/>
      <c r="Z92" s="3"/>
    </row>
    <row r="93" ht="15.0" customHeight="1">
      <c r="A93" s="70"/>
      <c r="B93" s="70"/>
      <c r="C93" s="70"/>
      <c r="D93" s="70"/>
      <c r="E93" s="38" t="str">
        <f t="shared" si="5"/>
        <v/>
      </c>
      <c r="F93" s="38" t="str">
        <f t="shared" si="6"/>
        <v/>
      </c>
      <c r="G93" s="38" t="str">
        <f t="shared" si="7"/>
        <v/>
      </c>
      <c r="H93" s="18"/>
      <c r="I93" s="3"/>
      <c r="J93" s="3"/>
      <c r="K93" s="3"/>
      <c r="L93" s="3"/>
      <c r="M93" s="3"/>
      <c r="N93" s="3"/>
      <c r="O93" s="3"/>
      <c r="P93" s="3"/>
      <c r="Q93" s="3"/>
      <c r="R93" s="3"/>
      <c r="S93" s="3"/>
      <c r="T93" s="3"/>
      <c r="U93" s="3"/>
      <c r="V93" s="3"/>
      <c r="W93" s="3"/>
      <c r="X93" s="3"/>
      <c r="Y93" s="3"/>
      <c r="Z93" s="3"/>
    </row>
    <row r="94" ht="15.0" customHeight="1">
      <c r="A94" s="69"/>
      <c r="B94" s="69"/>
      <c r="C94" s="69"/>
      <c r="D94" s="69"/>
      <c r="E94" s="60" t="str">
        <f t="shared" si="5"/>
        <v/>
      </c>
      <c r="F94" s="60" t="str">
        <f t="shared" si="6"/>
        <v/>
      </c>
      <c r="G94" s="60" t="str">
        <f t="shared" si="7"/>
        <v/>
      </c>
      <c r="H94" s="18"/>
      <c r="I94" s="3"/>
      <c r="J94" s="3"/>
      <c r="K94" s="3"/>
      <c r="L94" s="3"/>
      <c r="M94" s="3"/>
      <c r="N94" s="3"/>
      <c r="O94" s="3"/>
      <c r="P94" s="3"/>
      <c r="Q94" s="3"/>
      <c r="R94" s="3"/>
      <c r="S94" s="3"/>
      <c r="T94" s="3"/>
      <c r="U94" s="3"/>
      <c r="V94" s="3"/>
      <c r="W94" s="3"/>
      <c r="X94" s="3"/>
      <c r="Y94" s="3"/>
      <c r="Z94" s="3"/>
    </row>
    <row r="95" ht="15.0" customHeight="1">
      <c r="A95" s="70"/>
      <c r="B95" s="70"/>
      <c r="C95" s="70"/>
      <c r="D95" s="70"/>
      <c r="E95" s="38" t="str">
        <f t="shared" si="5"/>
        <v/>
      </c>
      <c r="F95" s="38" t="str">
        <f t="shared" si="6"/>
        <v/>
      </c>
      <c r="G95" s="38" t="str">
        <f t="shared" si="7"/>
        <v/>
      </c>
      <c r="H95" s="18"/>
      <c r="I95" s="3"/>
      <c r="J95" s="3"/>
      <c r="K95" s="3"/>
      <c r="L95" s="3"/>
      <c r="M95" s="3"/>
      <c r="N95" s="3"/>
      <c r="O95" s="3"/>
      <c r="P95" s="3"/>
      <c r="Q95" s="3"/>
      <c r="R95" s="3"/>
      <c r="S95" s="3"/>
      <c r="T95" s="3"/>
      <c r="U95" s="3"/>
      <c r="V95" s="3"/>
      <c r="W95" s="3"/>
      <c r="X95" s="3"/>
      <c r="Y95" s="3"/>
      <c r="Z95" s="3"/>
    </row>
    <row r="96" ht="15.0" customHeight="1">
      <c r="A96" s="69"/>
      <c r="B96" s="69"/>
      <c r="C96" s="69"/>
      <c r="D96" s="69"/>
      <c r="E96" s="60" t="str">
        <f t="shared" si="5"/>
        <v/>
      </c>
      <c r="F96" s="60" t="str">
        <f t="shared" si="6"/>
        <v/>
      </c>
      <c r="G96" s="60" t="str">
        <f t="shared" si="7"/>
        <v/>
      </c>
      <c r="H96" s="18"/>
      <c r="I96" s="3"/>
      <c r="J96" s="3"/>
      <c r="K96" s="3"/>
      <c r="L96" s="3"/>
      <c r="M96" s="3"/>
      <c r="N96" s="3"/>
      <c r="O96" s="3"/>
      <c r="P96" s="3"/>
      <c r="Q96" s="3"/>
      <c r="R96" s="3"/>
      <c r="S96" s="3"/>
      <c r="T96" s="3"/>
      <c r="U96" s="3"/>
      <c r="V96" s="3"/>
      <c r="W96" s="3"/>
      <c r="X96" s="3"/>
      <c r="Y96" s="3"/>
      <c r="Z96" s="3"/>
    </row>
    <row r="97" ht="15.0" customHeight="1">
      <c r="A97" s="70"/>
      <c r="B97" s="70"/>
      <c r="C97" s="70"/>
      <c r="D97" s="70"/>
      <c r="E97" s="38" t="str">
        <f t="shared" si="5"/>
        <v/>
      </c>
      <c r="F97" s="38" t="str">
        <f t="shared" si="6"/>
        <v/>
      </c>
      <c r="G97" s="38" t="str">
        <f t="shared" si="7"/>
        <v/>
      </c>
      <c r="H97" s="18"/>
      <c r="I97" s="3"/>
      <c r="J97" s="3"/>
      <c r="K97" s="3"/>
      <c r="L97" s="3"/>
      <c r="M97" s="3"/>
      <c r="N97" s="3"/>
      <c r="O97" s="3"/>
      <c r="P97" s="3"/>
      <c r="Q97" s="3"/>
      <c r="R97" s="3"/>
      <c r="S97" s="3"/>
      <c r="T97" s="3"/>
      <c r="U97" s="3"/>
      <c r="V97" s="3"/>
      <c r="W97" s="3"/>
      <c r="X97" s="3"/>
      <c r="Y97" s="3"/>
      <c r="Z97" s="3"/>
    </row>
    <row r="98" ht="15.0" customHeight="1">
      <c r="A98" s="69"/>
      <c r="B98" s="69"/>
      <c r="C98" s="69"/>
      <c r="D98" s="69"/>
      <c r="E98" s="60" t="str">
        <f t="shared" si="5"/>
        <v/>
      </c>
      <c r="F98" s="60" t="str">
        <f t="shared" si="6"/>
        <v/>
      </c>
      <c r="G98" s="60" t="str">
        <f t="shared" si="7"/>
        <v/>
      </c>
      <c r="H98" s="18"/>
      <c r="I98" s="3"/>
      <c r="J98" s="3"/>
      <c r="K98" s="3"/>
      <c r="L98" s="3"/>
      <c r="M98" s="3"/>
      <c r="N98" s="3"/>
      <c r="O98" s="3"/>
      <c r="P98" s="3"/>
      <c r="Q98" s="3"/>
      <c r="R98" s="3"/>
      <c r="S98" s="3"/>
      <c r="T98" s="3"/>
      <c r="U98" s="3"/>
      <c r="V98" s="3"/>
      <c r="W98" s="3"/>
      <c r="X98" s="3"/>
      <c r="Y98" s="3"/>
      <c r="Z98" s="3"/>
    </row>
    <row r="99" ht="15.0" customHeight="1">
      <c r="A99" s="70"/>
      <c r="B99" s="70"/>
      <c r="C99" s="70"/>
      <c r="D99" s="70"/>
      <c r="E99" s="38" t="str">
        <f t="shared" si="5"/>
        <v/>
      </c>
      <c r="F99" s="38" t="str">
        <f t="shared" si="6"/>
        <v/>
      </c>
      <c r="G99" s="38" t="str">
        <f t="shared" si="7"/>
        <v/>
      </c>
      <c r="H99" s="18"/>
      <c r="I99" s="3"/>
      <c r="J99" s="3"/>
      <c r="K99" s="3"/>
      <c r="L99" s="3"/>
      <c r="M99" s="3"/>
      <c r="N99" s="3"/>
      <c r="O99" s="3"/>
      <c r="P99" s="3"/>
      <c r="Q99" s="3"/>
      <c r="R99" s="3"/>
      <c r="S99" s="3"/>
      <c r="T99" s="3"/>
      <c r="U99" s="3"/>
      <c r="V99" s="3"/>
      <c r="W99" s="3"/>
      <c r="X99" s="3"/>
      <c r="Y99" s="3"/>
      <c r="Z99" s="3"/>
    </row>
    <row r="100" ht="15.0" customHeight="1">
      <c r="A100" s="69"/>
      <c r="B100" s="69"/>
      <c r="C100" s="69"/>
      <c r="D100" s="69"/>
      <c r="E100" s="60" t="str">
        <f t="shared" si="5"/>
        <v/>
      </c>
      <c r="F100" s="60" t="str">
        <f t="shared" si="6"/>
        <v/>
      </c>
      <c r="G100" s="60" t="str">
        <f t="shared" si="7"/>
        <v/>
      </c>
      <c r="H100" s="18"/>
      <c r="I100" s="3"/>
      <c r="J100" s="3"/>
      <c r="K100" s="3"/>
      <c r="L100" s="3"/>
      <c r="M100" s="3"/>
      <c r="N100" s="3"/>
      <c r="O100" s="3"/>
      <c r="P100" s="3"/>
      <c r="Q100" s="3"/>
      <c r="R100" s="3"/>
      <c r="S100" s="3"/>
      <c r="T100" s="3"/>
      <c r="U100" s="3"/>
      <c r="V100" s="3"/>
      <c r="W100" s="3"/>
      <c r="X100" s="3"/>
      <c r="Y100" s="3"/>
      <c r="Z100" s="3"/>
    </row>
    <row r="101" ht="15.0" customHeight="1">
      <c r="A101" s="70"/>
      <c r="B101" s="70"/>
      <c r="C101" s="70"/>
      <c r="D101" s="70"/>
      <c r="E101" s="38" t="str">
        <f t="shared" si="5"/>
        <v/>
      </c>
      <c r="F101" s="38" t="str">
        <f t="shared" si="6"/>
        <v/>
      </c>
      <c r="G101" s="38" t="str">
        <f t="shared" si="7"/>
        <v/>
      </c>
      <c r="H101" s="18"/>
      <c r="I101" s="3"/>
      <c r="J101" s="3"/>
      <c r="K101" s="3"/>
      <c r="L101" s="3"/>
      <c r="M101" s="3"/>
      <c r="N101" s="3"/>
      <c r="O101" s="3"/>
      <c r="P101" s="3"/>
      <c r="Q101" s="3"/>
      <c r="R101" s="3"/>
      <c r="S101" s="3"/>
      <c r="T101" s="3"/>
      <c r="U101" s="3"/>
      <c r="V101" s="3"/>
      <c r="W101" s="3"/>
      <c r="X101" s="3"/>
      <c r="Y101" s="3"/>
      <c r="Z101" s="3"/>
    </row>
    <row r="102" ht="15.0" customHeight="1">
      <c r="A102" s="69"/>
      <c r="B102" s="69"/>
      <c r="C102" s="69"/>
      <c r="D102" s="69"/>
      <c r="E102" s="60" t="str">
        <f t="shared" si="5"/>
        <v/>
      </c>
      <c r="F102" s="60" t="str">
        <f t="shared" si="6"/>
        <v/>
      </c>
      <c r="G102" s="60" t="str">
        <f t="shared" si="7"/>
        <v/>
      </c>
      <c r="H102" s="18"/>
      <c r="I102" s="3"/>
      <c r="J102" s="3"/>
      <c r="K102" s="3"/>
      <c r="L102" s="3"/>
      <c r="M102" s="3"/>
      <c r="N102" s="3"/>
      <c r="O102" s="3"/>
      <c r="P102" s="3"/>
      <c r="Q102" s="3"/>
      <c r="R102" s="3"/>
      <c r="S102" s="3"/>
      <c r="T102" s="3"/>
      <c r="U102" s="3"/>
      <c r="V102" s="3"/>
      <c r="W102" s="3"/>
      <c r="X102" s="3"/>
      <c r="Y102" s="3"/>
      <c r="Z102" s="3"/>
    </row>
    <row r="103" ht="15.0" customHeight="1">
      <c r="A103" s="70"/>
      <c r="B103" s="70"/>
      <c r="C103" s="70"/>
      <c r="D103" s="70"/>
      <c r="E103" s="38" t="str">
        <f t="shared" si="5"/>
        <v/>
      </c>
      <c r="F103" s="38" t="str">
        <f t="shared" si="6"/>
        <v/>
      </c>
      <c r="G103" s="38" t="str">
        <f t="shared" si="7"/>
        <v/>
      </c>
      <c r="H103" s="18"/>
      <c r="I103" s="3"/>
      <c r="J103" s="3"/>
      <c r="K103" s="3"/>
      <c r="L103" s="3"/>
      <c r="M103" s="3"/>
      <c r="N103" s="3"/>
      <c r="O103" s="3"/>
      <c r="P103" s="3"/>
      <c r="Q103" s="3"/>
      <c r="R103" s="3"/>
      <c r="S103" s="3"/>
      <c r="T103" s="3"/>
      <c r="U103" s="3"/>
      <c r="V103" s="3"/>
      <c r="W103" s="3"/>
      <c r="X103" s="3"/>
      <c r="Y103" s="3"/>
      <c r="Z103" s="3"/>
    </row>
    <row r="104" ht="15.0" customHeight="1">
      <c r="A104" s="69"/>
      <c r="B104" s="69"/>
      <c r="C104" s="69"/>
      <c r="D104" s="69"/>
      <c r="E104" s="60" t="str">
        <f t="shared" si="5"/>
        <v/>
      </c>
      <c r="F104" s="60" t="str">
        <f t="shared" si="6"/>
        <v/>
      </c>
      <c r="G104" s="60" t="str">
        <f t="shared" si="7"/>
        <v/>
      </c>
      <c r="H104" s="18"/>
      <c r="I104" s="3"/>
      <c r="J104" s="3"/>
      <c r="K104" s="3"/>
      <c r="L104" s="3"/>
      <c r="M104" s="3"/>
      <c r="N104" s="3"/>
      <c r="O104" s="3"/>
      <c r="P104" s="3"/>
      <c r="Q104" s="3"/>
      <c r="R104" s="3"/>
      <c r="S104" s="3"/>
      <c r="T104" s="3"/>
      <c r="U104" s="3"/>
      <c r="V104" s="3"/>
      <c r="W104" s="3"/>
      <c r="X104" s="3"/>
      <c r="Y104" s="3"/>
      <c r="Z104" s="3"/>
    </row>
    <row r="105" ht="13.5" customHeight="1">
      <c r="A105" s="32"/>
      <c r="B105" s="32"/>
      <c r="C105" s="32"/>
      <c r="D105" s="32"/>
      <c r="E105" s="32"/>
      <c r="F105" s="32"/>
      <c r="G105" s="32"/>
      <c r="H105" s="1"/>
      <c r="I105" s="3"/>
      <c r="J105" s="3"/>
      <c r="K105" s="3"/>
      <c r="L105" s="3"/>
      <c r="M105" s="3"/>
      <c r="N105" s="3"/>
      <c r="O105" s="3"/>
      <c r="P105" s="3"/>
      <c r="Q105" s="3"/>
      <c r="R105" s="3"/>
      <c r="S105" s="3"/>
      <c r="T105" s="3"/>
      <c r="U105" s="3"/>
      <c r="V105" s="3"/>
      <c r="W105" s="3"/>
      <c r="X105" s="3"/>
      <c r="Y105" s="3"/>
      <c r="Z105" s="3"/>
    </row>
    <row r="106" ht="15.0" customHeight="1">
      <c r="A106" s="9" t="s">
        <v>363</v>
      </c>
      <c r="B106" s="12"/>
      <c r="C106" s="12"/>
      <c r="D106" s="12"/>
      <c r="E106" s="12"/>
      <c r="F106" s="12"/>
      <c r="G106" s="12"/>
      <c r="H106" s="1"/>
      <c r="I106" s="3"/>
      <c r="J106" s="3"/>
      <c r="K106" s="3"/>
      <c r="L106" s="3"/>
      <c r="M106" s="3"/>
      <c r="N106" s="3"/>
      <c r="O106" s="3"/>
      <c r="P106" s="3"/>
      <c r="Q106" s="3"/>
      <c r="R106" s="3"/>
      <c r="S106" s="3"/>
      <c r="T106" s="3"/>
      <c r="U106" s="3"/>
      <c r="V106" s="3"/>
      <c r="W106" s="3"/>
      <c r="X106" s="3"/>
      <c r="Y106" s="3"/>
      <c r="Z106" s="3"/>
    </row>
    <row r="107" ht="23.25" customHeight="1">
      <c r="A107" s="16" t="s">
        <v>304</v>
      </c>
      <c r="B107" s="16" t="s">
        <v>364</v>
      </c>
      <c r="C107" s="16" t="s">
        <v>365</v>
      </c>
      <c r="D107" s="16" t="s">
        <v>366</v>
      </c>
      <c r="E107" s="16" t="s">
        <v>367</v>
      </c>
      <c r="F107" s="16" t="s">
        <v>368</v>
      </c>
      <c r="G107" s="16" t="s">
        <v>369</v>
      </c>
      <c r="H107" s="18"/>
      <c r="I107" s="3"/>
      <c r="J107" s="3"/>
      <c r="K107" s="3"/>
      <c r="L107" s="3"/>
      <c r="M107" s="3"/>
      <c r="N107" s="3"/>
      <c r="O107" s="3"/>
      <c r="P107" s="3"/>
      <c r="Q107" s="3"/>
      <c r="R107" s="3"/>
      <c r="S107" s="3"/>
      <c r="T107" s="3"/>
      <c r="U107" s="3"/>
      <c r="V107" s="3"/>
      <c r="W107" s="3"/>
      <c r="X107" s="3"/>
      <c r="Y107" s="3"/>
      <c r="Z107" s="3"/>
    </row>
    <row r="108" ht="15.0" customHeight="1">
      <c r="A108" s="48" t="s">
        <v>312</v>
      </c>
      <c r="B108" s="65">
        <v>78500.0</v>
      </c>
      <c r="C108" s="65">
        <v>92000.0</v>
      </c>
      <c r="D108" s="66">
        <f t="shared" ref="D108:D155" si="8">IF($B108="","",B108*100/C108)</f>
        <v>85.32608696</v>
      </c>
      <c r="E108" s="35"/>
      <c r="F108" s="66">
        <f t="shared" ref="F108:F155" si="9">IF($B108="","",IFERROR(PERCENTRANK($D$108:$D$155,D108)*100,""))</f>
        <v>100</v>
      </c>
      <c r="G108" s="38" t="str">
        <f t="shared" ref="G108:G155" si="10">IF($B108="","",IFERROR(PERCENTRANK($E$108:$E$155,E108)*100,""))</f>
        <v/>
      </c>
      <c r="H108" s="18"/>
      <c r="I108" s="3"/>
      <c r="J108" s="3"/>
      <c r="K108" s="3"/>
      <c r="L108" s="3"/>
      <c r="M108" s="3"/>
      <c r="N108" s="3"/>
      <c r="O108" s="3"/>
      <c r="P108" s="3"/>
      <c r="Q108" s="3"/>
      <c r="R108" s="3"/>
      <c r="S108" s="3"/>
      <c r="T108" s="3"/>
      <c r="U108" s="3"/>
      <c r="V108" s="3"/>
      <c r="W108" s="3"/>
      <c r="X108" s="3"/>
      <c r="Y108" s="3"/>
      <c r="Z108" s="3"/>
    </row>
    <row r="109" ht="15.0" customHeight="1">
      <c r="A109" s="51" t="s">
        <v>313</v>
      </c>
      <c r="B109" s="67">
        <v>80200.0</v>
      </c>
      <c r="C109" s="67">
        <v>95500.0</v>
      </c>
      <c r="D109" s="68">
        <f t="shared" si="8"/>
        <v>83.97905759</v>
      </c>
      <c r="E109" s="64"/>
      <c r="F109" s="68">
        <f t="shared" si="9"/>
        <v>50</v>
      </c>
      <c r="G109" s="60" t="str">
        <f t="shared" si="10"/>
        <v/>
      </c>
      <c r="H109" s="18"/>
      <c r="I109" s="3"/>
      <c r="J109" s="3"/>
      <c r="K109" s="3"/>
      <c r="L109" s="3"/>
      <c r="M109" s="3"/>
      <c r="N109" s="3"/>
      <c r="O109" s="3"/>
      <c r="P109" s="3"/>
      <c r="Q109" s="3"/>
      <c r="R109" s="3"/>
      <c r="S109" s="3"/>
      <c r="T109" s="3"/>
      <c r="U109" s="3"/>
      <c r="V109" s="3"/>
      <c r="W109" s="3"/>
      <c r="X109" s="3"/>
      <c r="Y109" s="3"/>
      <c r="Z109" s="3"/>
    </row>
    <row r="110" ht="15.0" customHeight="1">
      <c r="A110" s="48" t="s">
        <v>314</v>
      </c>
      <c r="B110" s="65">
        <v>81000.0</v>
      </c>
      <c r="C110" s="65">
        <v>97800.0</v>
      </c>
      <c r="D110" s="66">
        <f t="shared" si="8"/>
        <v>82.82208589</v>
      </c>
      <c r="E110" s="35"/>
      <c r="F110" s="66">
        <f t="shared" si="9"/>
        <v>0</v>
      </c>
      <c r="G110" s="38" t="str">
        <f t="shared" si="10"/>
        <v/>
      </c>
      <c r="H110" s="18"/>
      <c r="I110" s="3"/>
      <c r="J110" s="3"/>
      <c r="K110" s="3"/>
      <c r="L110" s="3"/>
      <c r="M110" s="3"/>
      <c r="N110" s="3"/>
      <c r="O110" s="3"/>
      <c r="P110" s="3"/>
      <c r="Q110" s="3"/>
      <c r="R110" s="3"/>
      <c r="S110" s="3"/>
      <c r="T110" s="3"/>
      <c r="U110" s="3"/>
      <c r="V110" s="3"/>
      <c r="W110" s="3"/>
      <c r="X110" s="3"/>
      <c r="Y110" s="3"/>
      <c r="Z110" s="3"/>
    </row>
    <row r="111" ht="15.0" customHeight="1">
      <c r="A111" s="69"/>
      <c r="B111" s="69"/>
      <c r="C111" s="69"/>
      <c r="D111" s="60" t="str">
        <f t="shared" si="8"/>
        <v/>
      </c>
      <c r="E111" s="64"/>
      <c r="F111" s="60" t="str">
        <f t="shared" si="9"/>
        <v/>
      </c>
      <c r="G111" s="60" t="str">
        <f t="shared" si="10"/>
        <v/>
      </c>
      <c r="H111" s="18"/>
      <c r="I111" s="3"/>
      <c r="J111" s="3"/>
      <c r="K111" s="3"/>
      <c r="L111" s="3"/>
      <c r="M111" s="3"/>
      <c r="N111" s="3"/>
      <c r="O111" s="3"/>
      <c r="P111" s="3"/>
      <c r="Q111" s="3"/>
      <c r="R111" s="3"/>
      <c r="S111" s="3"/>
      <c r="T111" s="3"/>
      <c r="U111" s="3"/>
      <c r="V111" s="3"/>
      <c r="W111" s="3"/>
      <c r="X111" s="3"/>
      <c r="Y111" s="3"/>
      <c r="Z111" s="3"/>
    </row>
    <row r="112" ht="15.0" customHeight="1">
      <c r="A112" s="70"/>
      <c r="B112" s="70"/>
      <c r="C112" s="70"/>
      <c r="D112" s="38" t="str">
        <f t="shared" si="8"/>
        <v/>
      </c>
      <c r="E112" s="35"/>
      <c r="F112" s="38" t="str">
        <f t="shared" si="9"/>
        <v/>
      </c>
      <c r="G112" s="38" t="str">
        <f t="shared" si="10"/>
        <v/>
      </c>
      <c r="H112" s="18"/>
      <c r="I112" s="3"/>
      <c r="J112" s="3"/>
      <c r="K112" s="3"/>
      <c r="L112" s="3"/>
      <c r="M112" s="3"/>
      <c r="N112" s="3"/>
      <c r="O112" s="3"/>
      <c r="P112" s="3"/>
      <c r="Q112" s="3"/>
      <c r="R112" s="3"/>
      <c r="S112" s="3"/>
      <c r="T112" s="3"/>
      <c r="U112" s="3"/>
      <c r="V112" s="3"/>
      <c r="W112" s="3"/>
      <c r="X112" s="3"/>
      <c r="Y112" s="3"/>
      <c r="Z112" s="3"/>
    </row>
    <row r="113" ht="15.0" customHeight="1">
      <c r="A113" s="69"/>
      <c r="B113" s="69"/>
      <c r="C113" s="69"/>
      <c r="D113" s="60" t="str">
        <f t="shared" si="8"/>
        <v/>
      </c>
      <c r="E113" s="64"/>
      <c r="F113" s="60" t="str">
        <f t="shared" si="9"/>
        <v/>
      </c>
      <c r="G113" s="60" t="str">
        <f t="shared" si="10"/>
        <v/>
      </c>
      <c r="H113" s="18"/>
      <c r="I113" s="3"/>
      <c r="J113" s="3"/>
      <c r="K113" s="3"/>
      <c r="L113" s="3"/>
      <c r="M113" s="3"/>
      <c r="N113" s="3"/>
      <c r="O113" s="3"/>
      <c r="P113" s="3"/>
      <c r="Q113" s="3"/>
      <c r="R113" s="3"/>
      <c r="S113" s="3"/>
      <c r="T113" s="3"/>
      <c r="U113" s="3"/>
      <c r="V113" s="3"/>
      <c r="W113" s="3"/>
      <c r="X113" s="3"/>
      <c r="Y113" s="3"/>
      <c r="Z113" s="3"/>
    </row>
    <row r="114" ht="15.0" customHeight="1">
      <c r="A114" s="70"/>
      <c r="B114" s="70"/>
      <c r="C114" s="70"/>
      <c r="D114" s="38" t="str">
        <f t="shared" si="8"/>
        <v/>
      </c>
      <c r="E114" s="35"/>
      <c r="F114" s="38" t="str">
        <f t="shared" si="9"/>
        <v/>
      </c>
      <c r="G114" s="38" t="str">
        <f t="shared" si="10"/>
        <v/>
      </c>
      <c r="H114" s="18"/>
      <c r="I114" s="3"/>
      <c r="J114" s="3"/>
      <c r="K114" s="3"/>
      <c r="L114" s="3"/>
      <c r="M114" s="3"/>
      <c r="N114" s="3"/>
      <c r="O114" s="3"/>
      <c r="P114" s="3"/>
      <c r="Q114" s="3"/>
      <c r="R114" s="3"/>
      <c r="S114" s="3"/>
      <c r="T114" s="3"/>
      <c r="U114" s="3"/>
      <c r="V114" s="3"/>
      <c r="W114" s="3"/>
      <c r="X114" s="3"/>
      <c r="Y114" s="3"/>
      <c r="Z114" s="3"/>
    </row>
    <row r="115" ht="15.0" customHeight="1">
      <c r="A115" s="69"/>
      <c r="B115" s="69"/>
      <c r="C115" s="69"/>
      <c r="D115" s="60" t="str">
        <f t="shared" si="8"/>
        <v/>
      </c>
      <c r="E115" s="64"/>
      <c r="F115" s="60" t="str">
        <f t="shared" si="9"/>
        <v/>
      </c>
      <c r="G115" s="60" t="str">
        <f t="shared" si="10"/>
        <v/>
      </c>
      <c r="H115" s="18"/>
      <c r="I115" s="3"/>
      <c r="J115" s="3"/>
      <c r="K115" s="3"/>
      <c r="L115" s="3"/>
      <c r="M115" s="3"/>
      <c r="N115" s="3"/>
      <c r="O115" s="3"/>
      <c r="P115" s="3"/>
      <c r="Q115" s="3"/>
      <c r="R115" s="3"/>
      <c r="S115" s="3"/>
      <c r="T115" s="3"/>
      <c r="U115" s="3"/>
      <c r="V115" s="3"/>
      <c r="W115" s="3"/>
      <c r="X115" s="3"/>
      <c r="Y115" s="3"/>
      <c r="Z115" s="3"/>
    </row>
    <row r="116" ht="15.0" customHeight="1">
      <c r="A116" s="70"/>
      <c r="B116" s="70"/>
      <c r="C116" s="70"/>
      <c r="D116" s="38" t="str">
        <f t="shared" si="8"/>
        <v/>
      </c>
      <c r="E116" s="35"/>
      <c r="F116" s="38" t="str">
        <f t="shared" si="9"/>
        <v/>
      </c>
      <c r="G116" s="38" t="str">
        <f t="shared" si="10"/>
        <v/>
      </c>
      <c r="H116" s="18"/>
      <c r="I116" s="3"/>
      <c r="J116" s="3"/>
      <c r="K116" s="3"/>
      <c r="L116" s="3"/>
      <c r="M116" s="3"/>
      <c r="N116" s="3"/>
      <c r="O116" s="3"/>
      <c r="P116" s="3"/>
      <c r="Q116" s="3"/>
      <c r="R116" s="3"/>
      <c r="S116" s="3"/>
      <c r="T116" s="3"/>
      <c r="U116" s="3"/>
      <c r="V116" s="3"/>
      <c r="W116" s="3"/>
      <c r="X116" s="3"/>
      <c r="Y116" s="3"/>
      <c r="Z116" s="3"/>
    </row>
    <row r="117" ht="15.0" customHeight="1">
      <c r="A117" s="69"/>
      <c r="B117" s="69"/>
      <c r="C117" s="69"/>
      <c r="D117" s="60" t="str">
        <f t="shared" si="8"/>
        <v/>
      </c>
      <c r="E117" s="64"/>
      <c r="F117" s="60" t="str">
        <f t="shared" si="9"/>
        <v/>
      </c>
      <c r="G117" s="60" t="str">
        <f t="shared" si="10"/>
        <v/>
      </c>
      <c r="H117" s="18"/>
      <c r="I117" s="3"/>
      <c r="J117" s="3"/>
      <c r="K117" s="3"/>
      <c r="L117" s="3"/>
      <c r="M117" s="3"/>
      <c r="N117" s="3"/>
      <c r="O117" s="3"/>
      <c r="P117" s="3"/>
      <c r="Q117" s="3"/>
      <c r="R117" s="3"/>
      <c r="S117" s="3"/>
      <c r="T117" s="3"/>
      <c r="U117" s="3"/>
      <c r="V117" s="3"/>
      <c r="W117" s="3"/>
      <c r="X117" s="3"/>
      <c r="Y117" s="3"/>
      <c r="Z117" s="3"/>
    </row>
    <row r="118" ht="15.0" customHeight="1">
      <c r="A118" s="70"/>
      <c r="B118" s="70"/>
      <c r="C118" s="70"/>
      <c r="D118" s="38" t="str">
        <f t="shared" si="8"/>
        <v/>
      </c>
      <c r="E118" s="35"/>
      <c r="F118" s="38" t="str">
        <f t="shared" si="9"/>
        <v/>
      </c>
      <c r="G118" s="38" t="str">
        <f t="shared" si="10"/>
        <v/>
      </c>
      <c r="H118" s="18"/>
      <c r="I118" s="3"/>
      <c r="J118" s="3"/>
      <c r="K118" s="3"/>
      <c r="L118" s="3"/>
      <c r="M118" s="3"/>
      <c r="N118" s="3"/>
      <c r="O118" s="3"/>
      <c r="P118" s="3"/>
      <c r="Q118" s="3"/>
      <c r="R118" s="3"/>
      <c r="S118" s="3"/>
      <c r="T118" s="3"/>
      <c r="U118" s="3"/>
      <c r="V118" s="3"/>
      <c r="W118" s="3"/>
      <c r="X118" s="3"/>
      <c r="Y118" s="3"/>
      <c r="Z118" s="3"/>
    </row>
    <row r="119" ht="15.0" customHeight="1">
      <c r="A119" s="69"/>
      <c r="B119" s="69"/>
      <c r="C119" s="69"/>
      <c r="D119" s="60" t="str">
        <f t="shared" si="8"/>
        <v/>
      </c>
      <c r="E119" s="64"/>
      <c r="F119" s="60" t="str">
        <f t="shared" si="9"/>
        <v/>
      </c>
      <c r="G119" s="60" t="str">
        <f t="shared" si="10"/>
        <v/>
      </c>
      <c r="H119" s="18"/>
      <c r="I119" s="3"/>
      <c r="J119" s="3"/>
      <c r="K119" s="3"/>
      <c r="L119" s="3"/>
      <c r="M119" s="3"/>
      <c r="N119" s="3"/>
      <c r="O119" s="3"/>
      <c r="P119" s="3"/>
      <c r="Q119" s="3"/>
      <c r="R119" s="3"/>
      <c r="S119" s="3"/>
      <c r="T119" s="3"/>
      <c r="U119" s="3"/>
      <c r="V119" s="3"/>
      <c r="W119" s="3"/>
      <c r="X119" s="3"/>
      <c r="Y119" s="3"/>
      <c r="Z119" s="3"/>
    </row>
    <row r="120" ht="15.0" customHeight="1">
      <c r="A120" s="70"/>
      <c r="B120" s="70"/>
      <c r="C120" s="70"/>
      <c r="D120" s="38" t="str">
        <f t="shared" si="8"/>
        <v/>
      </c>
      <c r="E120" s="35"/>
      <c r="F120" s="38" t="str">
        <f t="shared" si="9"/>
        <v/>
      </c>
      <c r="G120" s="38" t="str">
        <f t="shared" si="10"/>
        <v/>
      </c>
      <c r="H120" s="18"/>
      <c r="I120" s="3"/>
      <c r="J120" s="3"/>
      <c r="K120" s="3"/>
      <c r="L120" s="3"/>
      <c r="M120" s="3"/>
      <c r="N120" s="3"/>
      <c r="O120" s="3"/>
      <c r="P120" s="3"/>
      <c r="Q120" s="3"/>
      <c r="R120" s="3"/>
      <c r="S120" s="3"/>
      <c r="T120" s="3"/>
      <c r="U120" s="3"/>
      <c r="V120" s="3"/>
      <c r="W120" s="3"/>
      <c r="X120" s="3"/>
      <c r="Y120" s="3"/>
      <c r="Z120" s="3"/>
    </row>
    <row r="121" ht="15.0" customHeight="1">
      <c r="A121" s="69"/>
      <c r="B121" s="69"/>
      <c r="C121" s="69"/>
      <c r="D121" s="60" t="str">
        <f t="shared" si="8"/>
        <v/>
      </c>
      <c r="E121" s="64"/>
      <c r="F121" s="60" t="str">
        <f t="shared" si="9"/>
        <v/>
      </c>
      <c r="G121" s="60" t="str">
        <f t="shared" si="10"/>
        <v/>
      </c>
      <c r="H121" s="18"/>
      <c r="I121" s="3"/>
      <c r="J121" s="3"/>
      <c r="K121" s="3"/>
      <c r="L121" s="3"/>
      <c r="M121" s="3"/>
      <c r="N121" s="3"/>
      <c r="O121" s="3"/>
      <c r="P121" s="3"/>
      <c r="Q121" s="3"/>
      <c r="R121" s="3"/>
      <c r="S121" s="3"/>
      <c r="T121" s="3"/>
      <c r="U121" s="3"/>
      <c r="V121" s="3"/>
      <c r="W121" s="3"/>
      <c r="X121" s="3"/>
      <c r="Y121" s="3"/>
      <c r="Z121" s="3"/>
    </row>
    <row r="122" ht="15.0" customHeight="1">
      <c r="A122" s="70"/>
      <c r="B122" s="70"/>
      <c r="C122" s="70"/>
      <c r="D122" s="38" t="str">
        <f t="shared" si="8"/>
        <v/>
      </c>
      <c r="E122" s="35"/>
      <c r="F122" s="38" t="str">
        <f t="shared" si="9"/>
        <v/>
      </c>
      <c r="G122" s="38" t="str">
        <f t="shared" si="10"/>
        <v/>
      </c>
      <c r="H122" s="18"/>
      <c r="I122" s="3"/>
      <c r="J122" s="3"/>
      <c r="K122" s="3"/>
      <c r="L122" s="3"/>
      <c r="M122" s="3"/>
      <c r="N122" s="3"/>
      <c r="O122" s="3"/>
      <c r="P122" s="3"/>
      <c r="Q122" s="3"/>
      <c r="R122" s="3"/>
      <c r="S122" s="3"/>
      <c r="T122" s="3"/>
      <c r="U122" s="3"/>
      <c r="V122" s="3"/>
      <c r="W122" s="3"/>
      <c r="X122" s="3"/>
      <c r="Y122" s="3"/>
      <c r="Z122" s="3"/>
    </row>
    <row r="123" ht="15.0" customHeight="1">
      <c r="A123" s="69"/>
      <c r="B123" s="69"/>
      <c r="C123" s="69"/>
      <c r="D123" s="60" t="str">
        <f t="shared" si="8"/>
        <v/>
      </c>
      <c r="E123" s="64"/>
      <c r="F123" s="60" t="str">
        <f t="shared" si="9"/>
        <v/>
      </c>
      <c r="G123" s="60" t="str">
        <f t="shared" si="10"/>
        <v/>
      </c>
      <c r="H123" s="18"/>
      <c r="I123" s="3"/>
      <c r="J123" s="3"/>
      <c r="K123" s="3"/>
      <c r="L123" s="3"/>
      <c r="M123" s="3"/>
      <c r="N123" s="3"/>
      <c r="O123" s="3"/>
      <c r="P123" s="3"/>
      <c r="Q123" s="3"/>
      <c r="R123" s="3"/>
      <c r="S123" s="3"/>
      <c r="T123" s="3"/>
      <c r="U123" s="3"/>
      <c r="V123" s="3"/>
      <c r="W123" s="3"/>
      <c r="X123" s="3"/>
      <c r="Y123" s="3"/>
      <c r="Z123" s="3"/>
    </row>
    <row r="124" ht="15.0" customHeight="1">
      <c r="A124" s="70"/>
      <c r="B124" s="70"/>
      <c r="C124" s="70"/>
      <c r="D124" s="38" t="str">
        <f t="shared" si="8"/>
        <v/>
      </c>
      <c r="E124" s="35"/>
      <c r="F124" s="38" t="str">
        <f t="shared" si="9"/>
        <v/>
      </c>
      <c r="G124" s="38" t="str">
        <f t="shared" si="10"/>
        <v/>
      </c>
      <c r="H124" s="18"/>
      <c r="I124" s="3"/>
      <c r="J124" s="3"/>
      <c r="K124" s="3"/>
      <c r="L124" s="3"/>
      <c r="M124" s="3"/>
      <c r="N124" s="3"/>
      <c r="O124" s="3"/>
      <c r="P124" s="3"/>
      <c r="Q124" s="3"/>
      <c r="R124" s="3"/>
      <c r="S124" s="3"/>
      <c r="T124" s="3"/>
      <c r="U124" s="3"/>
      <c r="V124" s="3"/>
      <c r="W124" s="3"/>
      <c r="X124" s="3"/>
      <c r="Y124" s="3"/>
      <c r="Z124" s="3"/>
    </row>
    <row r="125" ht="15.0" customHeight="1">
      <c r="A125" s="69"/>
      <c r="B125" s="69"/>
      <c r="C125" s="69"/>
      <c r="D125" s="60" t="str">
        <f t="shared" si="8"/>
        <v/>
      </c>
      <c r="E125" s="64"/>
      <c r="F125" s="60" t="str">
        <f t="shared" si="9"/>
        <v/>
      </c>
      <c r="G125" s="60" t="str">
        <f t="shared" si="10"/>
        <v/>
      </c>
      <c r="H125" s="18"/>
      <c r="I125" s="3"/>
      <c r="J125" s="3"/>
      <c r="K125" s="3"/>
      <c r="L125" s="3"/>
      <c r="M125" s="3"/>
      <c r="N125" s="3"/>
      <c r="O125" s="3"/>
      <c r="P125" s="3"/>
      <c r="Q125" s="3"/>
      <c r="R125" s="3"/>
      <c r="S125" s="3"/>
      <c r="T125" s="3"/>
      <c r="U125" s="3"/>
      <c r="V125" s="3"/>
      <c r="W125" s="3"/>
      <c r="X125" s="3"/>
      <c r="Y125" s="3"/>
      <c r="Z125" s="3"/>
    </row>
    <row r="126" ht="15.0" customHeight="1">
      <c r="A126" s="70"/>
      <c r="B126" s="70"/>
      <c r="C126" s="70"/>
      <c r="D126" s="38" t="str">
        <f t="shared" si="8"/>
        <v/>
      </c>
      <c r="E126" s="35"/>
      <c r="F126" s="38" t="str">
        <f t="shared" si="9"/>
        <v/>
      </c>
      <c r="G126" s="38" t="str">
        <f t="shared" si="10"/>
        <v/>
      </c>
      <c r="H126" s="18"/>
      <c r="I126" s="3"/>
      <c r="J126" s="3"/>
      <c r="K126" s="3"/>
      <c r="L126" s="3"/>
      <c r="M126" s="3"/>
      <c r="N126" s="3"/>
      <c r="O126" s="3"/>
      <c r="P126" s="3"/>
      <c r="Q126" s="3"/>
      <c r="R126" s="3"/>
      <c r="S126" s="3"/>
      <c r="T126" s="3"/>
      <c r="U126" s="3"/>
      <c r="V126" s="3"/>
      <c r="W126" s="3"/>
      <c r="X126" s="3"/>
      <c r="Y126" s="3"/>
      <c r="Z126" s="3"/>
    </row>
    <row r="127" ht="15.0" customHeight="1">
      <c r="A127" s="69"/>
      <c r="B127" s="69"/>
      <c r="C127" s="69"/>
      <c r="D127" s="60" t="str">
        <f t="shared" si="8"/>
        <v/>
      </c>
      <c r="E127" s="64"/>
      <c r="F127" s="60" t="str">
        <f t="shared" si="9"/>
        <v/>
      </c>
      <c r="G127" s="60" t="str">
        <f t="shared" si="10"/>
        <v/>
      </c>
      <c r="H127" s="18"/>
      <c r="I127" s="3"/>
      <c r="J127" s="3"/>
      <c r="K127" s="3"/>
      <c r="L127" s="3"/>
      <c r="M127" s="3"/>
      <c r="N127" s="3"/>
      <c r="O127" s="3"/>
      <c r="P127" s="3"/>
      <c r="Q127" s="3"/>
      <c r="R127" s="3"/>
      <c r="S127" s="3"/>
      <c r="T127" s="3"/>
      <c r="U127" s="3"/>
      <c r="V127" s="3"/>
      <c r="W127" s="3"/>
      <c r="X127" s="3"/>
      <c r="Y127" s="3"/>
      <c r="Z127" s="3"/>
    </row>
    <row r="128" ht="15.0" customHeight="1">
      <c r="A128" s="70"/>
      <c r="B128" s="70"/>
      <c r="C128" s="70"/>
      <c r="D128" s="38" t="str">
        <f t="shared" si="8"/>
        <v/>
      </c>
      <c r="E128" s="35"/>
      <c r="F128" s="38" t="str">
        <f t="shared" si="9"/>
        <v/>
      </c>
      <c r="G128" s="38" t="str">
        <f t="shared" si="10"/>
        <v/>
      </c>
      <c r="H128" s="18"/>
      <c r="I128" s="3"/>
      <c r="J128" s="3"/>
      <c r="K128" s="3"/>
      <c r="L128" s="3"/>
      <c r="M128" s="3"/>
      <c r="N128" s="3"/>
      <c r="O128" s="3"/>
      <c r="P128" s="3"/>
      <c r="Q128" s="3"/>
      <c r="R128" s="3"/>
      <c r="S128" s="3"/>
      <c r="T128" s="3"/>
      <c r="U128" s="3"/>
      <c r="V128" s="3"/>
      <c r="W128" s="3"/>
      <c r="X128" s="3"/>
      <c r="Y128" s="3"/>
      <c r="Z128" s="3"/>
    </row>
    <row r="129" ht="15.0" customHeight="1">
      <c r="A129" s="69"/>
      <c r="B129" s="69"/>
      <c r="C129" s="69"/>
      <c r="D129" s="60" t="str">
        <f t="shared" si="8"/>
        <v/>
      </c>
      <c r="E129" s="64"/>
      <c r="F129" s="60" t="str">
        <f t="shared" si="9"/>
        <v/>
      </c>
      <c r="G129" s="60" t="str">
        <f t="shared" si="10"/>
        <v/>
      </c>
      <c r="H129" s="18"/>
      <c r="I129" s="3"/>
      <c r="J129" s="3"/>
      <c r="K129" s="3"/>
      <c r="L129" s="3"/>
      <c r="M129" s="3"/>
      <c r="N129" s="3"/>
      <c r="O129" s="3"/>
      <c r="P129" s="3"/>
      <c r="Q129" s="3"/>
      <c r="R129" s="3"/>
      <c r="S129" s="3"/>
      <c r="T129" s="3"/>
      <c r="U129" s="3"/>
      <c r="V129" s="3"/>
      <c r="W129" s="3"/>
      <c r="X129" s="3"/>
      <c r="Y129" s="3"/>
      <c r="Z129" s="3"/>
    </row>
    <row r="130" ht="15.0" customHeight="1">
      <c r="A130" s="70"/>
      <c r="B130" s="70"/>
      <c r="C130" s="70"/>
      <c r="D130" s="38" t="str">
        <f t="shared" si="8"/>
        <v/>
      </c>
      <c r="E130" s="35"/>
      <c r="F130" s="38" t="str">
        <f t="shared" si="9"/>
        <v/>
      </c>
      <c r="G130" s="38" t="str">
        <f t="shared" si="10"/>
        <v/>
      </c>
      <c r="H130" s="18"/>
      <c r="I130" s="3"/>
      <c r="J130" s="3"/>
      <c r="K130" s="3"/>
      <c r="L130" s="3"/>
      <c r="M130" s="3"/>
      <c r="N130" s="3"/>
      <c r="O130" s="3"/>
      <c r="P130" s="3"/>
      <c r="Q130" s="3"/>
      <c r="R130" s="3"/>
      <c r="S130" s="3"/>
      <c r="T130" s="3"/>
      <c r="U130" s="3"/>
      <c r="V130" s="3"/>
      <c r="W130" s="3"/>
      <c r="X130" s="3"/>
      <c r="Y130" s="3"/>
      <c r="Z130" s="3"/>
    </row>
    <row r="131" ht="15.0" customHeight="1">
      <c r="A131" s="69"/>
      <c r="B131" s="69"/>
      <c r="C131" s="69"/>
      <c r="D131" s="60" t="str">
        <f t="shared" si="8"/>
        <v/>
      </c>
      <c r="E131" s="64"/>
      <c r="F131" s="60" t="str">
        <f t="shared" si="9"/>
        <v/>
      </c>
      <c r="G131" s="60" t="str">
        <f t="shared" si="10"/>
        <v/>
      </c>
      <c r="H131" s="18"/>
      <c r="I131" s="3"/>
      <c r="J131" s="3"/>
      <c r="K131" s="3"/>
      <c r="L131" s="3"/>
      <c r="M131" s="3"/>
      <c r="N131" s="3"/>
      <c r="O131" s="3"/>
      <c r="P131" s="3"/>
      <c r="Q131" s="3"/>
      <c r="R131" s="3"/>
      <c r="S131" s="3"/>
      <c r="T131" s="3"/>
      <c r="U131" s="3"/>
      <c r="V131" s="3"/>
      <c r="W131" s="3"/>
      <c r="X131" s="3"/>
      <c r="Y131" s="3"/>
      <c r="Z131" s="3"/>
    </row>
    <row r="132" ht="15.0" customHeight="1">
      <c r="A132" s="70"/>
      <c r="B132" s="70"/>
      <c r="C132" s="70"/>
      <c r="D132" s="38" t="str">
        <f t="shared" si="8"/>
        <v/>
      </c>
      <c r="E132" s="35"/>
      <c r="F132" s="38" t="str">
        <f t="shared" si="9"/>
        <v/>
      </c>
      <c r="G132" s="38" t="str">
        <f t="shared" si="10"/>
        <v/>
      </c>
      <c r="H132" s="18"/>
      <c r="I132" s="3"/>
      <c r="J132" s="3"/>
      <c r="K132" s="3"/>
      <c r="L132" s="3"/>
      <c r="M132" s="3"/>
      <c r="N132" s="3"/>
      <c r="O132" s="3"/>
      <c r="P132" s="3"/>
      <c r="Q132" s="3"/>
      <c r="R132" s="3"/>
      <c r="S132" s="3"/>
      <c r="T132" s="3"/>
      <c r="U132" s="3"/>
      <c r="V132" s="3"/>
      <c r="W132" s="3"/>
      <c r="X132" s="3"/>
      <c r="Y132" s="3"/>
      <c r="Z132" s="3"/>
    </row>
    <row r="133" ht="15.0" customHeight="1">
      <c r="A133" s="69"/>
      <c r="B133" s="69"/>
      <c r="C133" s="69"/>
      <c r="D133" s="60" t="str">
        <f t="shared" si="8"/>
        <v/>
      </c>
      <c r="E133" s="64"/>
      <c r="F133" s="60" t="str">
        <f t="shared" si="9"/>
        <v/>
      </c>
      <c r="G133" s="60" t="str">
        <f t="shared" si="10"/>
        <v/>
      </c>
      <c r="H133" s="18"/>
      <c r="I133" s="3"/>
      <c r="J133" s="3"/>
      <c r="K133" s="3"/>
      <c r="L133" s="3"/>
      <c r="M133" s="3"/>
      <c r="N133" s="3"/>
      <c r="O133" s="3"/>
      <c r="P133" s="3"/>
      <c r="Q133" s="3"/>
      <c r="R133" s="3"/>
      <c r="S133" s="3"/>
      <c r="T133" s="3"/>
      <c r="U133" s="3"/>
      <c r="V133" s="3"/>
      <c r="W133" s="3"/>
      <c r="X133" s="3"/>
      <c r="Y133" s="3"/>
      <c r="Z133" s="3"/>
    </row>
    <row r="134" ht="15.0" customHeight="1">
      <c r="A134" s="70"/>
      <c r="B134" s="70"/>
      <c r="C134" s="70"/>
      <c r="D134" s="38" t="str">
        <f t="shared" si="8"/>
        <v/>
      </c>
      <c r="E134" s="35"/>
      <c r="F134" s="38" t="str">
        <f t="shared" si="9"/>
        <v/>
      </c>
      <c r="G134" s="38" t="str">
        <f t="shared" si="10"/>
        <v/>
      </c>
      <c r="H134" s="18"/>
      <c r="I134" s="3"/>
      <c r="J134" s="3"/>
      <c r="K134" s="3"/>
      <c r="L134" s="3"/>
      <c r="M134" s="3"/>
      <c r="N134" s="3"/>
      <c r="O134" s="3"/>
      <c r="P134" s="3"/>
      <c r="Q134" s="3"/>
      <c r="R134" s="3"/>
      <c r="S134" s="3"/>
      <c r="T134" s="3"/>
      <c r="U134" s="3"/>
      <c r="V134" s="3"/>
      <c r="W134" s="3"/>
      <c r="X134" s="3"/>
      <c r="Y134" s="3"/>
      <c r="Z134" s="3"/>
    </row>
    <row r="135" ht="15.0" customHeight="1">
      <c r="A135" s="69"/>
      <c r="B135" s="69"/>
      <c r="C135" s="69"/>
      <c r="D135" s="60" t="str">
        <f t="shared" si="8"/>
        <v/>
      </c>
      <c r="E135" s="64"/>
      <c r="F135" s="60" t="str">
        <f t="shared" si="9"/>
        <v/>
      </c>
      <c r="G135" s="60" t="str">
        <f t="shared" si="10"/>
        <v/>
      </c>
      <c r="H135" s="18"/>
      <c r="I135" s="3"/>
      <c r="J135" s="3"/>
      <c r="K135" s="3"/>
      <c r="L135" s="3"/>
      <c r="M135" s="3"/>
      <c r="N135" s="3"/>
      <c r="O135" s="3"/>
      <c r="P135" s="3"/>
      <c r="Q135" s="3"/>
      <c r="R135" s="3"/>
      <c r="S135" s="3"/>
      <c r="T135" s="3"/>
      <c r="U135" s="3"/>
      <c r="V135" s="3"/>
      <c r="W135" s="3"/>
      <c r="X135" s="3"/>
      <c r="Y135" s="3"/>
      <c r="Z135" s="3"/>
    </row>
    <row r="136" ht="15.0" customHeight="1">
      <c r="A136" s="70"/>
      <c r="B136" s="70"/>
      <c r="C136" s="70"/>
      <c r="D136" s="38" t="str">
        <f t="shared" si="8"/>
        <v/>
      </c>
      <c r="E136" s="35"/>
      <c r="F136" s="38" t="str">
        <f t="shared" si="9"/>
        <v/>
      </c>
      <c r="G136" s="38" t="str">
        <f t="shared" si="10"/>
        <v/>
      </c>
      <c r="H136" s="18"/>
      <c r="I136" s="3"/>
      <c r="J136" s="3"/>
      <c r="K136" s="3"/>
      <c r="L136" s="3"/>
      <c r="M136" s="3"/>
      <c r="N136" s="3"/>
      <c r="O136" s="3"/>
      <c r="P136" s="3"/>
      <c r="Q136" s="3"/>
      <c r="R136" s="3"/>
      <c r="S136" s="3"/>
      <c r="T136" s="3"/>
      <c r="U136" s="3"/>
      <c r="V136" s="3"/>
      <c r="W136" s="3"/>
      <c r="X136" s="3"/>
      <c r="Y136" s="3"/>
      <c r="Z136" s="3"/>
    </row>
    <row r="137" ht="15.0" customHeight="1">
      <c r="A137" s="69"/>
      <c r="B137" s="69"/>
      <c r="C137" s="69"/>
      <c r="D137" s="60" t="str">
        <f t="shared" si="8"/>
        <v/>
      </c>
      <c r="E137" s="64"/>
      <c r="F137" s="60" t="str">
        <f t="shared" si="9"/>
        <v/>
      </c>
      <c r="G137" s="60" t="str">
        <f t="shared" si="10"/>
        <v/>
      </c>
      <c r="H137" s="18"/>
      <c r="I137" s="3"/>
      <c r="J137" s="3"/>
      <c r="K137" s="3"/>
      <c r="L137" s="3"/>
      <c r="M137" s="3"/>
      <c r="N137" s="3"/>
      <c r="O137" s="3"/>
      <c r="P137" s="3"/>
      <c r="Q137" s="3"/>
      <c r="R137" s="3"/>
      <c r="S137" s="3"/>
      <c r="T137" s="3"/>
      <c r="U137" s="3"/>
      <c r="V137" s="3"/>
      <c r="W137" s="3"/>
      <c r="X137" s="3"/>
      <c r="Y137" s="3"/>
      <c r="Z137" s="3"/>
    </row>
    <row r="138" ht="15.0" customHeight="1">
      <c r="A138" s="70"/>
      <c r="B138" s="70"/>
      <c r="C138" s="70"/>
      <c r="D138" s="38" t="str">
        <f t="shared" si="8"/>
        <v/>
      </c>
      <c r="E138" s="35"/>
      <c r="F138" s="38" t="str">
        <f t="shared" si="9"/>
        <v/>
      </c>
      <c r="G138" s="38" t="str">
        <f t="shared" si="10"/>
        <v/>
      </c>
      <c r="H138" s="18"/>
      <c r="I138" s="3"/>
      <c r="J138" s="3"/>
      <c r="K138" s="3"/>
      <c r="L138" s="3"/>
      <c r="M138" s="3"/>
      <c r="N138" s="3"/>
      <c r="O138" s="3"/>
      <c r="P138" s="3"/>
      <c r="Q138" s="3"/>
      <c r="R138" s="3"/>
      <c r="S138" s="3"/>
      <c r="T138" s="3"/>
      <c r="U138" s="3"/>
      <c r="V138" s="3"/>
      <c r="W138" s="3"/>
      <c r="X138" s="3"/>
      <c r="Y138" s="3"/>
      <c r="Z138" s="3"/>
    </row>
    <row r="139" ht="15.0" customHeight="1">
      <c r="A139" s="69"/>
      <c r="B139" s="69"/>
      <c r="C139" s="69"/>
      <c r="D139" s="60" t="str">
        <f t="shared" si="8"/>
        <v/>
      </c>
      <c r="E139" s="64"/>
      <c r="F139" s="60" t="str">
        <f t="shared" si="9"/>
        <v/>
      </c>
      <c r="G139" s="60" t="str">
        <f t="shared" si="10"/>
        <v/>
      </c>
      <c r="H139" s="18"/>
      <c r="I139" s="3"/>
      <c r="J139" s="3"/>
      <c r="K139" s="3"/>
      <c r="L139" s="3"/>
      <c r="M139" s="3"/>
      <c r="N139" s="3"/>
      <c r="O139" s="3"/>
      <c r="P139" s="3"/>
      <c r="Q139" s="3"/>
      <c r="R139" s="3"/>
      <c r="S139" s="3"/>
      <c r="T139" s="3"/>
      <c r="U139" s="3"/>
      <c r="V139" s="3"/>
      <c r="W139" s="3"/>
      <c r="X139" s="3"/>
      <c r="Y139" s="3"/>
      <c r="Z139" s="3"/>
    </row>
    <row r="140" ht="15.0" customHeight="1">
      <c r="A140" s="70"/>
      <c r="B140" s="70"/>
      <c r="C140" s="70"/>
      <c r="D140" s="38" t="str">
        <f t="shared" si="8"/>
        <v/>
      </c>
      <c r="E140" s="35"/>
      <c r="F140" s="38" t="str">
        <f t="shared" si="9"/>
        <v/>
      </c>
      <c r="G140" s="38" t="str">
        <f t="shared" si="10"/>
        <v/>
      </c>
      <c r="H140" s="18"/>
      <c r="I140" s="3"/>
      <c r="J140" s="3"/>
      <c r="K140" s="3"/>
      <c r="L140" s="3"/>
      <c r="M140" s="3"/>
      <c r="N140" s="3"/>
      <c r="O140" s="3"/>
      <c r="P140" s="3"/>
      <c r="Q140" s="3"/>
      <c r="R140" s="3"/>
      <c r="S140" s="3"/>
      <c r="T140" s="3"/>
      <c r="U140" s="3"/>
      <c r="V140" s="3"/>
      <c r="W140" s="3"/>
      <c r="X140" s="3"/>
      <c r="Y140" s="3"/>
      <c r="Z140" s="3"/>
    </row>
    <row r="141" ht="15.0" customHeight="1">
      <c r="A141" s="69"/>
      <c r="B141" s="69"/>
      <c r="C141" s="69"/>
      <c r="D141" s="60" t="str">
        <f t="shared" si="8"/>
        <v/>
      </c>
      <c r="E141" s="64"/>
      <c r="F141" s="60" t="str">
        <f t="shared" si="9"/>
        <v/>
      </c>
      <c r="G141" s="60" t="str">
        <f t="shared" si="10"/>
        <v/>
      </c>
      <c r="H141" s="18"/>
      <c r="I141" s="3"/>
      <c r="J141" s="3"/>
      <c r="K141" s="3"/>
      <c r="L141" s="3"/>
      <c r="M141" s="3"/>
      <c r="N141" s="3"/>
      <c r="O141" s="3"/>
      <c r="P141" s="3"/>
      <c r="Q141" s="3"/>
      <c r="R141" s="3"/>
      <c r="S141" s="3"/>
      <c r="T141" s="3"/>
      <c r="U141" s="3"/>
      <c r="V141" s="3"/>
      <c r="W141" s="3"/>
      <c r="X141" s="3"/>
      <c r="Y141" s="3"/>
      <c r="Z141" s="3"/>
    </row>
    <row r="142" ht="15.0" customHeight="1">
      <c r="A142" s="70"/>
      <c r="B142" s="70"/>
      <c r="C142" s="70"/>
      <c r="D142" s="38" t="str">
        <f t="shared" si="8"/>
        <v/>
      </c>
      <c r="E142" s="35"/>
      <c r="F142" s="38" t="str">
        <f t="shared" si="9"/>
        <v/>
      </c>
      <c r="G142" s="38" t="str">
        <f t="shared" si="10"/>
        <v/>
      </c>
      <c r="H142" s="18"/>
      <c r="I142" s="3"/>
      <c r="J142" s="3"/>
      <c r="K142" s="3"/>
      <c r="L142" s="3"/>
      <c r="M142" s="3"/>
      <c r="N142" s="3"/>
      <c r="O142" s="3"/>
      <c r="P142" s="3"/>
      <c r="Q142" s="3"/>
      <c r="R142" s="3"/>
      <c r="S142" s="3"/>
      <c r="T142" s="3"/>
      <c r="U142" s="3"/>
      <c r="V142" s="3"/>
      <c r="W142" s="3"/>
      <c r="X142" s="3"/>
      <c r="Y142" s="3"/>
      <c r="Z142" s="3"/>
    </row>
    <row r="143" ht="15.0" customHeight="1">
      <c r="A143" s="69"/>
      <c r="B143" s="69"/>
      <c r="C143" s="69"/>
      <c r="D143" s="60" t="str">
        <f t="shared" si="8"/>
        <v/>
      </c>
      <c r="E143" s="64"/>
      <c r="F143" s="60" t="str">
        <f t="shared" si="9"/>
        <v/>
      </c>
      <c r="G143" s="60" t="str">
        <f t="shared" si="10"/>
        <v/>
      </c>
      <c r="H143" s="18"/>
      <c r="I143" s="3"/>
      <c r="J143" s="3"/>
      <c r="K143" s="3"/>
      <c r="L143" s="3"/>
      <c r="M143" s="3"/>
      <c r="N143" s="3"/>
      <c r="O143" s="3"/>
      <c r="P143" s="3"/>
      <c r="Q143" s="3"/>
      <c r="R143" s="3"/>
      <c r="S143" s="3"/>
      <c r="T143" s="3"/>
      <c r="U143" s="3"/>
      <c r="V143" s="3"/>
      <c r="W143" s="3"/>
      <c r="X143" s="3"/>
      <c r="Y143" s="3"/>
      <c r="Z143" s="3"/>
    </row>
    <row r="144" ht="15.0" customHeight="1">
      <c r="A144" s="70"/>
      <c r="B144" s="70"/>
      <c r="C144" s="70"/>
      <c r="D144" s="38" t="str">
        <f t="shared" si="8"/>
        <v/>
      </c>
      <c r="E144" s="35"/>
      <c r="F144" s="38" t="str">
        <f t="shared" si="9"/>
        <v/>
      </c>
      <c r="G144" s="38" t="str">
        <f t="shared" si="10"/>
        <v/>
      </c>
      <c r="H144" s="18"/>
      <c r="I144" s="3"/>
      <c r="J144" s="3"/>
      <c r="K144" s="3"/>
      <c r="L144" s="3"/>
      <c r="M144" s="3"/>
      <c r="N144" s="3"/>
      <c r="O144" s="3"/>
      <c r="P144" s="3"/>
      <c r="Q144" s="3"/>
      <c r="R144" s="3"/>
      <c r="S144" s="3"/>
      <c r="T144" s="3"/>
      <c r="U144" s="3"/>
      <c r="V144" s="3"/>
      <c r="W144" s="3"/>
      <c r="X144" s="3"/>
      <c r="Y144" s="3"/>
      <c r="Z144" s="3"/>
    </row>
    <row r="145" ht="15.0" customHeight="1">
      <c r="A145" s="69"/>
      <c r="B145" s="69"/>
      <c r="C145" s="69"/>
      <c r="D145" s="60" t="str">
        <f t="shared" si="8"/>
        <v/>
      </c>
      <c r="E145" s="64"/>
      <c r="F145" s="60" t="str">
        <f t="shared" si="9"/>
        <v/>
      </c>
      <c r="G145" s="60" t="str">
        <f t="shared" si="10"/>
        <v/>
      </c>
      <c r="H145" s="18"/>
      <c r="I145" s="3"/>
      <c r="J145" s="3"/>
      <c r="K145" s="3"/>
      <c r="L145" s="3"/>
      <c r="M145" s="3"/>
      <c r="N145" s="3"/>
      <c r="O145" s="3"/>
      <c r="P145" s="3"/>
      <c r="Q145" s="3"/>
      <c r="R145" s="3"/>
      <c r="S145" s="3"/>
      <c r="T145" s="3"/>
      <c r="U145" s="3"/>
      <c r="V145" s="3"/>
      <c r="W145" s="3"/>
      <c r="X145" s="3"/>
      <c r="Y145" s="3"/>
      <c r="Z145" s="3"/>
    </row>
    <row r="146" ht="15.0" customHeight="1">
      <c r="A146" s="70"/>
      <c r="B146" s="70"/>
      <c r="C146" s="70"/>
      <c r="D146" s="38" t="str">
        <f t="shared" si="8"/>
        <v/>
      </c>
      <c r="E146" s="35"/>
      <c r="F146" s="38" t="str">
        <f t="shared" si="9"/>
        <v/>
      </c>
      <c r="G146" s="38" t="str">
        <f t="shared" si="10"/>
        <v/>
      </c>
      <c r="H146" s="18"/>
      <c r="I146" s="3"/>
      <c r="J146" s="3"/>
      <c r="K146" s="3"/>
      <c r="L146" s="3"/>
      <c r="M146" s="3"/>
      <c r="N146" s="3"/>
      <c r="O146" s="3"/>
      <c r="P146" s="3"/>
      <c r="Q146" s="3"/>
      <c r="R146" s="3"/>
      <c r="S146" s="3"/>
      <c r="T146" s="3"/>
      <c r="U146" s="3"/>
      <c r="V146" s="3"/>
      <c r="W146" s="3"/>
      <c r="X146" s="3"/>
      <c r="Y146" s="3"/>
      <c r="Z146" s="3"/>
    </row>
    <row r="147" ht="15.0" customHeight="1">
      <c r="A147" s="69"/>
      <c r="B147" s="69"/>
      <c r="C147" s="69"/>
      <c r="D147" s="60" t="str">
        <f t="shared" si="8"/>
        <v/>
      </c>
      <c r="E147" s="64"/>
      <c r="F147" s="60" t="str">
        <f t="shared" si="9"/>
        <v/>
      </c>
      <c r="G147" s="60" t="str">
        <f t="shared" si="10"/>
        <v/>
      </c>
      <c r="H147" s="18"/>
      <c r="I147" s="3"/>
      <c r="J147" s="3"/>
      <c r="K147" s="3"/>
      <c r="L147" s="3"/>
      <c r="M147" s="3"/>
      <c r="N147" s="3"/>
      <c r="O147" s="3"/>
      <c r="P147" s="3"/>
      <c r="Q147" s="3"/>
      <c r="R147" s="3"/>
      <c r="S147" s="3"/>
      <c r="T147" s="3"/>
      <c r="U147" s="3"/>
      <c r="V147" s="3"/>
      <c r="W147" s="3"/>
      <c r="X147" s="3"/>
      <c r="Y147" s="3"/>
      <c r="Z147" s="3"/>
    </row>
    <row r="148" ht="15.0" customHeight="1">
      <c r="A148" s="70"/>
      <c r="B148" s="70"/>
      <c r="C148" s="70"/>
      <c r="D148" s="38" t="str">
        <f t="shared" si="8"/>
        <v/>
      </c>
      <c r="E148" s="35"/>
      <c r="F148" s="38" t="str">
        <f t="shared" si="9"/>
        <v/>
      </c>
      <c r="G148" s="38" t="str">
        <f t="shared" si="10"/>
        <v/>
      </c>
      <c r="H148" s="18"/>
      <c r="I148" s="3"/>
      <c r="J148" s="3"/>
      <c r="K148" s="3"/>
      <c r="L148" s="3"/>
      <c r="M148" s="3"/>
      <c r="N148" s="3"/>
      <c r="O148" s="3"/>
      <c r="P148" s="3"/>
      <c r="Q148" s="3"/>
      <c r="R148" s="3"/>
      <c r="S148" s="3"/>
      <c r="T148" s="3"/>
      <c r="U148" s="3"/>
      <c r="V148" s="3"/>
      <c r="W148" s="3"/>
      <c r="X148" s="3"/>
      <c r="Y148" s="3"/>
      <c r="Z148" s="3"/>
    </row>
    <row r="149" ht="15.0" customHeight="1">
      <c r="A149" s="69"/>
      <c r="B149" s="69"/>
      <c r="C149" s="69"/>
      <c r="D149" s="60" t="str">
        <f t="shared" si="8"/>
        <v/>
      </c>
      <c r="E149" s="64"/>
      <c r="F149" s="60" t="str">
        <f t="shared" si="9"/>
        <v/>
      </c>
      <c r="G149" s="60" t="str">
        <f t="shared" si="10"/>
        <v/>
      </c>
      <c r="H149" s="18"/>
      <c r="I149" s="3"/>
      <c r="J149" s="3"/>
      <c r="K149" s="3"/>
      <c r="L149" s="3"/>
      <c r="M149" s="3"/>
      <c r="N149" s="3"/>
      <c r="O149" s="3"/>
      <c r="P149" s="3"/>
      <c r="Q149" s="3"/>
      <c r="R149" s="3"/>
      <c r="S149" s="3"/>
      <c r="T149" s="3"/>
      <c r="U149" s="3"/>
      <c r="V149" s="3"/>
      <c r="W149" s="3"/>
      <c r="X149" s="3"/>
      <c r="Y149" s="3"/>
      <c r="Z149" s="3"/>
    </row>
    <row r="150" ht="15.0" customHeight="1">
      <c r="A150" s="70"/>
      <c r="B150" s="70"/>
      <c r="C150" s="70"/>
      <c r="D150" s="38" t="str">
        <f t="shared" si="8"/>
        <v/>
      </c>
      <c r="E150" s="35"/>
      <c r="F150" s="38" t="str">
        <f t="shared" si="9"/>
        <v/>
      </c>
      <c r="G150" s="38" t="str">
        <f t="shared" si="10"/>
        <v/>
      </c>
      <c r="H150" s="18"/>
      <c r="I150" s="3"/>
      <c r="J150" s="3"/>
      <c r="K150" s="3"/>
      <c r="L150" s="3"/>
      <c r="M150" s="3"/>
      <c r="N150" s="3"/>
      <c r="O150" s="3"/>
      <c r="P150" s="3"/>
      <c r="Q150" s="3"/>
      <c r="R150" s="3"/>
      <c r="S150" s="3"/>
      <c r="T150" s="3"/>
      <c r="U150" s="3"/>
      <c r="V150" s="3"/>
      <c r="W150" s="3"/>
      <c r="X150" s="3"/>
      <c r="Y150" s="3"/>
      <c r="Z150" s="3"/>
    </row>
    <row r="151" ht="15.0" customHeight="1">
      <c r="A151" s="69"/>
      <c r="B151" s="69"/>
      <c r="C151" s="69"/>
      <c r="D151" s="60" t="str">
        <f t="shared" si="8"/>
        <v/>
      </c>
      <c r="E151" s="64"/>
      <c r="F151" s="60" t="str">
        <f t="shared" si="9"/>
        <v/>
      </c>
      <c r="G151" s="60" t="str">
        <f t="shared" si="10"/>
        <v/>
      </c>
      <c r="H151" s="18"/>
      <c r="I151" s="3"/>
      <c r="J151" s="3"/>
      <c r="K151" s="3"/>
      <c r="L151" s="3"/>
      <c r="M151" s="3"/>
      <c r="N151" s="3"/>
      <c r="O151" s="3"/>
      <c r="P151" s="3"/>
      <c r="Q151" s="3"/>
      <c r="R151" s="3"/>
      <c r="S151" s="3"/>
      <c r="T151" s="3"/>
      <c r="U151" s="3"/>
      <c r="V151" s="3"/>
      <c r="W151" s="3"/>
      <c r="X151" s="3"/>
      <c r="Y151" s="3"/>
      <c r="Z151" s="3"/>
    </row>
    <row r="152" ht="15.0" customHeight="1">
      <c r="A152" s="70"/>
      <c r="B152" s="70"/>
      <c r="C152" s="70"/>
      <c r="D152" s="38" t="str">
        <f t="shared" si="8"/>
        <v/>
      </c>
      <c r="E152" s="35"/>
      <c r="F152" s="38" t="str">
        <f t="shared" si="9"/>
        <v/>
      </c>
      <c r="G152" s="38" t="str">
        <f t="shared" si="10"/>
        <v/>
      </c>
      <c r="H152" s="18"/>
      <c r="I152" s="3"/>
      <c r="J152" s="3"/>
      <c r="K152" s="3"/>
      <c r="L152" s="3"/>
      <c r="M152" s="3"/>
      <c r="N152" s="3"/>
      <c r="O152" s="3"/>
      <c r="P152" s="3"/>
      <c r="Q152" s="3"/>
      <c r="R152" s="3"/>
      <c r="S152" s="3"/>
      <c r="T152" s="3"/>
      <c r="U152" s="3"/>
      <c r="V152" s="3"/>
      <c r="W152" s="3"/>
      <c r="X152" s="3"/>
      <c r="Y152" s="3"/>
      <c r="Z152" s="3"/>
    </row>
    <row r="153" ht="15.0" customHeight="1">
      <c r="A153" s="69"/>
      <c r="B153" s="69"/>
      <c r="C153" s="69"/>
      <c r="D153" s="60" t="str">
        <f t="shared" si="8"/>
        <v/>
      </c>
      <c r="E153" s="64"/>
      <c r="F153" s="60" t="str">
        <f t="shared" si="9"/>
        <v/>
      </c>
      <c r="G153" s="60" t="str">
        <f t="shared" si="10"/>
        <v/>
      </c>
      <c r="H153" s="18"/>
      <c r="I153" s="3"/>
      <c r="J153" s="3"/>
      <c r="K153" s="3"/>
      <c r="L153" s="3"/>
      <c r="M153" s="3"/>
      <c r="N153" s="3"/>
      <c r="O153" s="3"/>
      <c r="P153" s="3"/>
      <c r="Q153" s="3"/>
      <c r="R153" s="3"/>
      <c r="S153" s="3"/>
      <c r="T153" s="3"/>
      <c r="U153" s="3"/>
      <c r="V153" s="3"/>
      <c r="W153" s="3"/>
      <c r="X153" s="3"/>
      <c r="Y153" s="3"/>
      <c r="Z153" s="3"/>
    </row>
    <row r="154" ht="15.0" customHeight="1">
      <c r="A154" s="70"/>
      <c r="B154" s="70"/>
      <c r="C154" s="70"/>
      <c r="D154" s="38" t="str">
        <f t="shared" si="8"/>
        <v/>
      </c>
      <c r="E154" s="35"/>
      <c r="F154" s="38" t="str">
        <f t="shared" si="9"/>
        <v/>
      </c>
      <c r="G154" s="38" t="str">
        <f t="shared" si="10"/>
        <v/>
      </c>
      <c r="H154" s="18"/>
      <c r="I154" s="3"/>
      <c r="J154" s="3"/>
      <c r="K154" s="3"/>
      <c r="L154" s="3"/>
      <c r="M154" s="3"/>
      <c r="N154" s="3"/>
      <c r="O154" s="3"/>
      <c r="P154" s="3"/>
      <c r="Q154" s="3"/>
      <c r="R154" s="3"/>
      <c r="S154" s="3"/>
      <c r="T154" s="3"/>
      <c r="U154" s="3"/>
      <c r="V154" s="3"/>
      <c r="W154" s="3"/>
      <c r="X154" s="3"/>
      <c r="Y154" s="3"/>
      <c r="Z154" s="3"/>
    </row>
    <row r="155" ht="15.0" customHeight="1">
      <c r="A155" s="69"/>
      <c r="B155" s="69"/>
      <c r="C155" s="69"/>
      <c r="D155" s="60" t="str">
        <f t="shared" si="8"/>
        <v/>
      </c>
      <c r="E155" s="64"/>
      <c r="F155" s="60" t="str">
        <f t="shared" si="9"/>
        <v/>
      </c>
      <c r="G155" s="60" t="str">
        <f t="shared" si="10"/>
        <v/>
      </c>
      <c r="H155" s="18"/>
      <c r="I155" s="3"/>
      <c r="J155" s="3"/>
      <c r="K155" s="3"/>
      <c r="L155" s="3"/>
      <c r="M155" s="3"/>
      <c r="N155" s="3"/>
      <c r="O155" s="3"/>
      <c r="P155" s="3"/>
      <c r="Q155" s="3"/>
      <c r="R155" s="3"/>
      <c r="S155" s="3"/>
      <c r="T155" s="3"/>
      <c r="U155" s="3"/>
      <c r="V155" s="3"/>
      <c r="W155" s="3"/>
      <c r="X155" s="3"/>
      <c r="Y155" s="3"/>
      <c r="Z155" s="3"/>
    </row>
    <row r="156" ht="13.5" customHeight="1">
      <c r="A156" s="32"/>
      <c r="B156" s="32"/>
      <c r="C156" s="32"/>
      <c r="D156" s="32"/>
      <c r="E156" s="32"/>
      <c r="F156" s="32"/>
      <c r="G156" s="32"/>
      <c r="H156" s="1"/>
      <c r="I156" s="3"/>
      <c r="J156" s="3"/>
      <c r="K156" s="3"/>
      <c r="L156" s="3"/>
      <c r="M156" s="3"/>
      <c r="N156" s="3"/>
      <c r="O156" s="3"/>
      <c r="P156" s="3"/>
      <c r="Q156" s="3"/>
      <c r="R156" s="3"/>
      <c r="S156" s="3"/>
      <c r="T156" s="3"/>
      <c r="U156" s="3"/>
      <c r="V156" s="3"/>
      <c r="W156" s="3"/>
      <c r="X156" s="3"/>
      <c r="Y156" s="3"/>
      <c r="Z156" s="3"/>
    </row>
    <row r="157" ht="15.0" customHeight="1">
      <c r="A157" s="9" t="s">
        <v>370</v>
      </c>
      <c r="B157" s="12"/>
      <c r="C157" s="12"/>
      <c r="D157" s="12"/>
      <c r="E157" s="12"/>
      <c r="F157" s="12"/>
      <c r="G157" s="12"/>
      <c r="H157" s="12"/>
      <c r="I157" s="3"/>
      <c r="J157" s="3"/>
      <c r="K157" s="3"/>
      <c r="L157" s="3"/>
      <c r="M157" s="3"/>
      <c r="N157" s="3"/>
      <c r="O157" s="3"/>
      <c r="P157" s="3"/>
      <c r="Q157" s="3"/>
      <c r="R157" s="3"/>
      <c r="S157" s="3"/>
      <c r="T157" s="3"/>
      <c r="U157" s="3"/>
      <c r="V157" s="3"/>
      <c r="W157" s="3"/>
      <c r="X157" s="3"/>
      <c r="Y157" s="3"/>
      <c r="Z157" s="3"/>
    </row>
    <row r="158" ht="23.25" customHeight="1">
      <c r="A158" s="16" t="s">
        <v>304</v>
      </c>
      <c r="B158" s="16" t="s">
        <v>248</v>
      </c>
      <c r="C158" s="16" t="s">
        <v>249</v>
      </c>
      <c r="D158" s="16" t="s">
        <v>250</v>
      </c>
      <c r="E158" s="16" t="s">
        <v>371</v>
      </c>
      <c r="F158" s="16" t="s">
        <v>372</v>
      </c>
      <c r="G158" s="16" t="s">
        <v>373</v>
      </c>
      <c r="H158" s="16" t="s">
        <v>374</v>
      </c>
      <c r="I158" s="3"/>
      <c r="J158" s="3"/>
      <c r="K158" s="3"/>
      <c r="L158" s="3"/>
      <c r="M158" s="3"/>
      <c r="N158" s="3"/>
      <c r="O158" s="3"/>
      <c r="P158" s="3"/>
      <c r="Q158" s="3"/>
      <c r="R158" s="3"/>
      <c r="S158" s="3"/>
      <c r="T158" s="3"/>
      <c r="U158" s="3"/>
      <c r="V158" s="3"/>
      <c r="W158" s="3"/>
      <c r="X158" s="3"/>
      <c r="Y158" s="3"/>
      <c r="Z158" s="3"/>
    </row>
    <row r="159" ht="15.0" customHeight="1">
      <c r="A159" s="48" t="s">
        <v>312</v>
      </c>
      <c r="B159" s="65">
        <v>1500.0</v>
      </c>
      <c r="C159" s="65">
        <v>2200.0</v>
      </c>
      <c r="D159" s="65">
        <v>3100.0</v>
      </c>
      <c r="E159" s="65">
        <v>4500.0</v>
      </c>
      <c r="F159" s="65">
        <v>600.0</v>
      </c>
      <c r="G159" s="66">
        <f t="shared" ref="G159:G206" si="11">IF($B159="","",IFERROR(PERCENTRANK($D$159:$D$206,D159)*100,""))</f>
        <v>0</v>
      </c>
      <c r="H159" s="66">
        <f t="shared" ref="H159:H206" si="12">IF($B159="","",IFERROR(PERCENTRANK($E$159:$E$206,E159)*100,""))</f>
        <v>0</v>
      </c>
      <c r="I159" s="3"/>
      <c r="J159" s="3"/>
      <c r="K159" s="3"/>
      <c r="L159" s="3"/>
      <c r="M159" s="3"/>
      <c r="N159" s="3"/>
      <c r="O159" s="3"/>
      <c r="P159" s="3"/>
      <c r="Q159" s="3"/>
      <c r="R159" s="3"/>
      <c r="S159" s="3"/>
      <c r="T159" s="3"/>
      <c r="U159" s="3"/>
      <c r="V159" s="3"/>
      <c r="W159" s="3"/>
      <c r="X159" s="3"/>
      <c r="Y159" s="3"/>
      <c r="Z159" s="3"/>
    </row>
    <row r="160" ht="15.0" customHeight="1">
      <c r="A160" s="51" t="s">
        <v>313</v>
      </c>
      <c r="B160" s="67">
        <v>1300.0</v>
      </c>
      <c r="C160" s="67">
        <v>2500.0</v>
      </c>
      <c r="D160" s="67">
        <v>3600.0</v>
      </c>
      <c r="E160" s="67">
        <v>5200.0</v>
      </c>
      <c r="F160" s="67">
        <v>550.0</v>
      </c>
      <c r="G160" s="68">
        <f t="shared" si="11"/>
        <v>100</v>
      </c>
      <c r="H160" s="68">
        <f t="shared" si="12"/>
        <v>100</v>
      </c>
      <c r="I160" s="3"/>
      <c r="J160" s="3"/>
      <c r="K160" s="3"/>
      <c r="L160" s="3"/>
      <c r="M160" s="3"/>
      <c r="N160" s="3"/>
      <c r="O160" s="3"/>
      <c r="P160" s="3"/>
      <c r="Q160" s="3"/>
      <c r="R160" s="3"/>
      <c r="S160" s="3"/>
      <c r="T160" s="3"/>
      <c r="U160" s="3"/>
      <c r="V160" s="3"/>
      <c r="W160" s="3"/>
      <c r="X160" s="3"/>
      <c r="Y160" s="3"/>
      <c r="Z160" s="3"/>
    </row>
    <row r="161" ht="15.0" customHeight="1">
      <c r="A161" s="48" t="s">
        <v>314</v>
      </c>
      <c r="B161" s="65">
        <v>1600.0</v>
      </c>
      <c r="C161" s="65">
        <v>2300.0</v>
      </c>
      <c r="D161" s="65">
        <v>3400.0</v>
      </c>
      <c r="E161" s="65">
        <v>4800.0</v>
      </c>
      <c r="F161" s="65">
        <v>700.0</v>
      </c>
      <c r="G161" s="66">
        <f t="shared" si="11"/>
        <v>50</v>
      </c>
      <c r="H161" s="66">
        <f t="shared" si="12"/>
        <v>50</v>
      </c>
      <c r="I161" s="3"/>
      <c r="J161" s="3"/>
      <c r="K161" s="3"/>
      <c r="L161" s="3"/>
      <c r="M161" s="3"/>
      <c r="N161" s="3"/>
      <c r="O161" s="3"/>
      <c r="P161" s="3"/>
      <c r="Q161" s="3"/>
      <c r="R161" s="3"/>
      <c r="S161" s="3"/>
      <c r="T161" s="3"/>
      <c r="U161" s="3"/>
      <c r="V161" s="3"/>
      <c r="W161" s="3"/>
      <c r="X161" s="3"/>
      <c r="Y161" s="3"/>
      <c r="Z161" s="3"/>
    </row>
    <row r="162" ht="15.0" customHeight="1">
      <c r="A162" s="69"/>
      <c r="B162" s="69"/>
      <c r="C162" s="69"/>
      <c r="D162" s="69"/>
      <c r="E162" s="69"/>
      <c r="F162" s="69"/>
      <c r="G162" s="60" t="str">
        <f t="shared" si="11"/>
        <v/>
      </c>
      <c r="H162" s="60" t="str">
        <f t="shared" si="12"/>
        <v/>
      </c>
      <c r="I162" s="3"/>
      <c r="J162" s="3"/>
      <c r="K162" s="3"/>
      <c r="L162" s="3"/>
      <c r="M162" s="3"/>
      <c r="N162" s="3"/>
      <c r="O162" s="3"/>
      <c r="P162" s="3"/>
      <c r="Q162" s="3"/>
      <c r="R162" s="3"/>
      <c r="S162" s="3"/>
      <c r="T162" s="3"/>
      <c r="U162" s="3"/>
      <c r="V162" s="3"/>
      <c r="W162" s="3"/>
      <c r="X162" s="3"/>
      <c r="Y162" s="3"/>
      <c r="Z162" s="3"/>
    </row>
    <row r="163" ht="15.0" customHeight="1">
      <c r="A163" s="70"/>
      <c r="B163" s="70"/>
      <c r="C163" s="70"/>
      <c r="D163" s="70"/>
      <c r="E163" s="70"/>
      <c r="F163" s="70"/>
      <c r="G163" s="38" t="str">
        <f t="shared" si="11"/>
        <v/>
      </c>
      <c r="H163" s="38" t="str">
        <f t="shared" si="12"/>
        <v/>
      </c>
      <c r="I163" s="3"/>
      <c r="J163" s="3"/>
      <c r="K163" s="3"/>
      <c r="L163" s="3"/>
      <c r="M163" s="3"/>
      <c r="N163" s="3"/>
      <c r="O163" s="3"/>
      <c r="P163" s="3"/>
      <c r="Q163" s="3"/>
      <c r="R163" s="3"/>
      <c r="S163" s="3"/>
      <c r="T163" s="3"/>
      <c r="U163" s="3"/>
      <c r="V163" s="3"/>
      <c r="W163" s="3"/>
      <c r="X163" s="3"/>
      <c r="Y163" s="3"/>
      <c r="Z163" s="3"/>
    </row>
    <row r="164" ht="15.0" customHeight="1">
      <c r="A164" s="69"/>
      <c r="B164" s="69"/>
      <c r="C164" s="69"/>
      <c r="D164" s="69"/>
      <c r="E164" s="69"/>
      <c r="F164" s="69"/>
      <c r="G164" s="60" t="str">
        <f t="shared" si="11"/>
        <v/>
      </c>
      <c r="H164" s="60" t="str">
        <f t="shared" si="12"/>
        <v/>
      </c>
      <c r="I164" s="3"/>
      <c r="J164" s="3"/>
      <c r="K164" s="3"/>
      <c r="L164" s="3"/>
      <c r="M164" s="3"/>
      <c r="N164" s="3"/>
      <c r="O164" s="3"/>
      <c r="P164" s="3"/>
      <c r="Q164" s="3"/>
      <c r="R164" s="3"/>
      <c r="S164" s="3"/>
      <c r="T164" s="3"/>
      <c r="U164" s="3"/>
      <c r="V164" s="3"/>
      <c r="W164" s="3"/>
      <c r="X164" s="3"/>
      <c r="Y164" s="3"/>
      <c r="Z164" s="3"/>
    </row>
    <row r="165" ht="15.0" customHeight="1">
      <c r="A165" s="70"/>
      <c r="B165" s="70"/>
      <c r="C165" s="70"/>
      <c r="D165" s="70"/>
      <c r="E165" s="70"/>
      <c r="F165" s="70"/>
      <c r="G165" s="38" t="str">
        <f t="shared" si="11"/>
        <v/>
      </c>
      <c r="H165" s="38" t="str">
        <f t="shared" si="12"/>
        <v/>
      </c>
      <c r="I165" s="3"/>
      <c r="J165" s="3"/>
      <c r="K165" s="3"/>
      <c r="L165" s="3"/>
      <c r="M165" s="3"/>
      <c r="N165" s="3"/>
      <c r="O165" s="3"/>
      <c r="P165" s="3"/>
      <c r="Q165" s="3"/>
      <c r="R165" s="3"/>
      <c r="S165" s="3"/>
      <c r="T165" s="3"/>
      <c r="U165" s="3"/>
      <c r="V165" s="3"/>
      <c r="W165" s="3"/>
      <c r="X165" s="3"/>
      <c r="Y165" s="3"/>
      <c r="Z165" s="3"/>
    </row>
    <row r="166" ht="15.0" customHeight="1">
      <c r="A166" s="69"/>
      <c r="B166" s="69"/>
      <c r="C166" s="69"/>
      <c r="D166" s="69"/>
      <c r="E166" s="69"/>
      <c r="F166" s="69"/>
      <c r="G166" s="60" t="str">
        <f t="shared" si="11"/>
        <v/>
      </c>
      <c r="H166" s="60" t="str">
        <f t="shared" si="12"/>
        <v/>
      </c>
      <c r="I166" s="3"/>
      <c r="J166" s="3"/>
      <c r="K166" s="3"/>
      <c r="L166" s="3"/>
      <c r="M166" s="3"/>
      <c r="N166" s="3"/>
      <c r="O166" s="3"/>
      <c r="P166" s="3"/>
      <c r="Q166" s="3"/>
      <c r="R166" s="3"/>
      <c r="S166" s="3"/>
      <c r="T166" s="3"/>
      <c r="U166" s="3"/>
      <c r="V166" s="3"/>
      <c r="W166" s="3"/>
      <c r="X166" s="3"/>
      <c r="Y166" s="3"/>
      <c r="Z166" s="3"/>
    </row>
    <row r="167" ht="15.0" customHeight="1">
      <c r="A167" s="70"/>
      <c r="B167" s="70"/>
      <c r="C167" s="70"/>
      <c r="D167" s="70"/>
      <c r="E167" s="70"/>
      <c r="F167" s="70"/>
      <c r="G167" s="38" t="str">
        <f t="shared" si="11"/>
        <v/>
      </c>
      <c r="H167" s="38" t="str">
        <f t="shared" si="12"/>
        <v/>
      </c>
      <c r="I167" s="3"/>
      <c r="J167" s="3"/>
      <c r="K167" s="3"/>
      <c r="L167" s="3"/>
      <c r="M167" s="3"/>
      <c r="N167" s="3"/>
      <c r="O167" s="3"/>
      <c r="P167" s="3"/>
      <c r="Q167" s="3"/>
      <c r="R167" s="3"/>
      <c r="S167" s="3"/>
      <c r="T167" s="3"/>
      <c r="U167" s="3"/>
      <c r="V167" s="3"/>
      <c r="W167" s="3"/>
      <c r="X167" s="3"/>
      <c r="Y167" s="3"/>
      <c r="Z167" s="3"/>
    </row>
    <row r="168" ht="15.0" customHeight="1">
      <c r="A168" s="69"/>
      <c r="B168" s="69"/>
      <c r="C168" s="69"/>
      <c r="D168" s="69"/>
      <c r="E168" s="69"/>
      <c r="F168" s="69"/>
      <c r="G168" s="60" t="str">
        <f t="shared" si="11"/>
        <v/>
      </c>
      <c r="H168" s="60" t="str">
        <f t="shared" si="12"/>
        <v/>
      </c>
      <c r="I168" s="3"/>
      <c r="J168" s="3"/>
      <c r="K168" s="3"/>
      <c r="L168" s="3"/>
      <c r="M168" s="3"/>
      <c r="N168" s="3"/>
      <c r="O168" s="3"/>
      <c r="P168" s="3"/>
      <c r="Q168" s="3"/>
      <c r="R168" s="3"/>
      <c r="S168" s="3"/>
      <c r="T168" s="3"/>
      <c r="U168" s="3"/>
      <c r="V168" s="3"/>
      <c r="W168" s="3"/>
      <c r="X168" s="3"/>
      <c r="Y168" s="3"/>
      <c r="Z168" s="3"/>
    </row>
    <row r="169" ht="15.0" customHeight="1">
      <c r="A169" s="70"/>
      <c r="B169" s="70"/>
      <c r="C169" s="70"/>
      <c r="D169" s="70"/>
      <c r="E169" s="70"/>
      <c r="F169" s="70"/>
      <c r="G169" s="38" t="str">
        <f t="shared" si="11"/>
        <v/>
      </c>
      <c r="H169" s="38" t="str">
        <f t="shared" si="12"/>
        <v/>
      </c>
      <c r="I169" s="3"/>
      <c r="J169" s="3"/>
      <c r="K169" s="3"/>
      <c r="L169" s="3"/>
      <c r="M169" s="3"/>
      <c r="N169" s="3"/>
      <c r="O169" s="3"/>
      <c r="P169" s="3"/>
      <c r="Q169" s="3"/>
      <c r="R169" s="3"/>
      <c r="S169" s="3"/>
      <c r="T169" s="3"/>
      <c r="U169" s="3"/>
      <c r="V169" s="3"/>
      <c r="W169" s="3"/>
      <c r="X169" s="3"/>
      <c r="Y169" s="3"/>
      <c r="Z169" s="3"/>
    </row>
    <row r="170" ht="15.0" customHeight="1">
      <c r="A170" s="69"/>
      <c r="B170" s="69"/>
      <c r="C170" s="69"/>
      <c r="D170" s="69"/>
      <c r="E170" s="69"/>
      <c r="F170" s="69"/>
      <c r="G170" s="60" t="str">
        <f t="shared" si="11"/>
        <v/>
      </c>
      <c r="H170" s="60" t="str">
        <f t="shared" si="12"/>
        <v/>
      </c>
      <c r="I170" s="3"/>
      <c r="J170" s="3"/>
      <c r="K170" s="3"/>
      <c r="L170" s="3"/>
      <c r="M170" s="3"/>
      <c r="N170" s="3"/>
      <c r="O170" s="3"/>
      <c r="P170" s="3"/>
      <c r="Q170" s="3"/>
      <c r="R170" s="3"/>
      <c r="S170" s="3"/>
      <c r="T170" s="3"/>
      <c r="U170" s="3"/>
      <c r="V170" s="3"/>
      <c r="W170" s="3"/>
      <c r="X170" s="3"/>
      <c r="Y170" s="3"/>
      <c r="Z170" s="3"/>
    </row>
    <row r="171" ht="15.0" customHeight="1">
      <c r="A171" s="70"/>
      <c r="B171" s="70"/>
      <c r="C171" s="70"/>
      <c r="D171" s="70"/>
      <c r="E171" s="70"/>
      <c r="F171" s="70"/>
      <c r="G171" s="38" t="str">
        <f t="shared" si="11"/>
        <v/>
      </c>
      <c r="H171" s="38" t="str">
        <f t="shared" si="12"/>
        <v/>
      </c>
      <c r="I171" s="3"/>
      <c r="J171" s="3"/>
      <c r="K171" s="3"/>
      <c r="L171" s="3"/>
      <c r="M171" s="3"/>
      <c r="N171" s="3"/>
      <c r="O171" s="3"/>
      <c r="P171" s="3"/>
      <c r="Q171" s="3"/>
      <c r="R171" s="3"/>
      <c r="S171" s="3"/>
      <c r="T171" s="3"/>
      <c r="U171" s="3"/>
      <c r="V171" s="3"/>
      <c r="W171" s="3"/>
      <c r="X171" s="3"/>
      <c r="Y171" s="3"/>
      <c r="Z171" s="3"/>
    </row>
    <row r="172" ht="15.0" customHeight="1">
      <c r="A172" s="69"/>
      <c r="B172" s="69"/>
      <c r="C172" s="69"/>
      <c r="D172" s="69"/>
      <c r="E172" s="69"/>
      <c r="F172" s="69"/>
      <c r="G172" s="60" t="str">
        <f t="shared" si="11"/>
        <v/>
      </c>
      <c r="H172" s="60" t="str">
        <f t="shared" si="12"/>
        <v/>
      </c>
      <c r="I172" s="3"/>
      <c r="J172" s="3"/>
      <c r="K172" s="3"/>
      <c r="L172" s="3"/>
      <c r="M172" s="3"/>
      <c r="N172" s="3"/>
      <c r="O172" s="3"/>
      <c r="P172" s="3"/>
      <c r="Q172" s="3"/>
      <c r="R172" s="3"/>
      <c r="S172" s="3"/>
      <c r="T172" s="3"/>
      <c r="U172" s="3"/>
      <c r="V172" s="3"/>
      <c r="W172" s="3"/>
      <c r="X172" s="3"/>
      <c r="Y172" s="3"/>
      <c r="Z172" s="3"/>
    </row>
    <row r="173" ht="15.0" customHeight="1">
      <c r="A173" s="70"/>
      <c r="B173" s="70"/>
      <c r="C173" s="70"/>
      <c r="D173" s="70"/>
      <c r="E173" s="70"/>
      <c r="F173" s="70"/>
      <c r="G173" s="38" t="str">
        <f t="shared" si="11"/>
        <v/>
      </c>
      <c r="H173" s="38" t="str">
        <f t="shared" si="12"/>
        <v/>
      </c>
      <c r="I173" s="3"/>
      <c r="J173" s="3"/>
      <c r="K173" s="3"/>
      <c r="L173" s="3"/>
      <c r="M173" s="3"/>
      <c r="N173" s="3"/>
      <c r="O173" s="3"/>
      <c r="P173" s="3"/>
      <c r="Q173" s="3"/>
      <c r="R173" s="3"/>
      <c r="S173" s="3"/>
      <c r="T173" s="3"/>
      <c r="U173" s="3"/>
      <c r="V173" s="3"/>
      <c r="W173" s="3"/>
      <c r="X173" s="3"/>
      <c r="Y173" s="3"/>
      <c r="Z173" s="3"/>
    </row>
    <row r="174" ht="15.0" customHeight="1">
      <c r="A174" s="69"/>
      <c r="B174" s="69"/>
      <c r="C174" s="69"/>
      <c r="D174" s="69"/>
      <c r="E174" s="69"/>
      <c r="F174" s="69"/>
      <c r="G174" s="60" t="str">
        <f t="shared" si="11"/>
        <v/>
      </c>
      <c r="H174" s="60" t="str">
        <f t="shared" si="12"/>
        <v/>
      </c>
      <c r="I174" s="3"/>
      <c r="J174" s="3"/>
      <c r="K174" s="3"/>
      <c r="L174" s="3"/>
      <c r="M174" s="3"/>
      <c r="N174" s="3"/>
      <c r="O174" s="3"/>
      <c r="P174" s="3"/>
      <c r="Q174" s="3"/>
      <c r="R174" s="3"/>
      <c r="S174" s="3"/>
      <c r="T174" s="3"/>
      <c r="U174" s="3"/>
      <c r="V174" s="3"/>
      <c r="W174" s="3"/>
      <c r="X174" s="3"/>
      <c r="Y174" s="3"/>
      <c r="Z174" s="3"/>
    </row>
    <row r="175" ht="15.0" customHeight="1">
      <c r="A175" s="70"/>
      <c r="B175" s="70"/>
      <c r="C175" s="70"/>
      <c r="D175" s="70"/>
      <c r="E175" s="70"/>
      <c r="F175" s="70"/>
      <c r="G175" s="38" t="str">
        <f t="shared" si="11"/>
        <v/>
      </c>
      <c r="H175" s="38" t="str">
        <f t="shared" si="12"/>
        <v/>
      </c>
      <c r="I175" s="3"/>
      <c r="J175" s="3"/>
      <c r="K175" s="3"/>
      <c r="L175" s="3"/>
      <c r="M175" s="3"/>
      <c r="N175" s="3"/>
      <c r="O175" s="3"/>
      <c r="P175" s="3"/>
      <c r="Q175" s="3"/>
      <c r="R175" s="3"/>
      <c r="S175" s="3"/>
      <c r="T175" s="3"/>
      <c r="U175" s="3"/>
      <c r="V175" s="3"/>
      <c r="W175" s="3"/>
      <c r="X175" s="3"/>
      <c r="Y175" s="3"/>
      <c r="Z175" s="3"/>
    </row>
    <row r="176" ht="15.0" customHeight="1">
      <c r="A176" s="69"/>
      <c r="B176" s="69"/>
      <c r="C176" s="69"/>
      <c r="D176" s="69"/>
      <c r="E176" s="69"/>
      <c r="F176" s="69"/>
      <c r="G176" s="60" t="str">
        <f t="shared" si="11"/>
        <v/>
      </c>
      <c r="H176" s="60" t="str">
        <f t="shared" si="12"/>
        <v/>
      </c>
      <c r="I176" s="3"/>
      <c r="J176" s="3"/>
      <c r="K176" s="3"/>
      <c r="L176" s="3"/>
      <c r="M176" s="3"/>
      <c r="N176" s="3"/>
      <c r="O176" s="3"/>
      <c r="P176" s="3"/>
      <c r="Q176" s="3"/>
      <c r="R176" s="3"/>
      <c r="S176" s="3"/>
      <c r="T176" s="3"/>
      <c r="U176" s="3"/>
      <c r="V176" s="3"/>
      <c r="W176" s="3"/>
      <c r="X176" s="3"/>
      <c r="Y176" s="3"/>
      <c r="Z176" s="3"/>
    </row>
    <row r="177" ht="15.0" customHeight="1">
      <c r="A177" s="70"/>
      <c r="B177" s="70"/>
      <c r="C177" s="70"/>
      <c r="D177" s="70"/>
      <c r="E177" s="70"/>
      <c r="F177" s="70"/>
      <c r="G177" s="38" t="str">
        <f t="shared" si="11"/>
        <v/>
      </c>
      <c r="H177" s="38" t="str">
        <f t="shared" si="12"/>
        <v/>
      </c>
      <c r="I177" s="3"/>
      <c r="J177" s="3"/>
      <c r="K177" s="3"/>
      <c r="L177" s="3"/>
      <c r="M177" s="3"/>
      <c r="N177" s="3"/>
      <c r="O177" s="3"/>
      <c r="P177" s="3"/>
      <c r="Q177" s="3"/>
      <c r="R177" s="3"/>
      <c r="S177" s="3"/>
      <c r="T177" s="3"/>
      <c r="U177" s="3"/>
      <c r="V177" s="3"/>
      <c r="W177" s="3"/>
      <c r="X177" s="3"/>
      <c r="Y177" s="3"/>
      <c r="Z177" s="3"/>
    </row>
    <row r="178" ht="15.0" customHeight="1">
      <c r="A178" s="69"/>
      <c r="B178" s="69"/>
      <c r="C178" s="69"/>
      <c r="D178" s="69"/>
      <c r="E178" s="69"/>
      <c r="F178" s="69"/>
      <c r="G178" s="60" t="str">
        <f t="shared" si="11"/>
        <v/>
      </c>
      <c r="H178" s="60" t="str">
        <f t="shared" si="12"/>
        <v/>
      </c>
      <c r="I178" s="3"/>
      <c r="J178" s="3"/>
      <c r="K178" s="3"/>
      <c r="L178" s="3"/>
      <c r="M178" s="3"/>
      <c r="N178" s="3"/>
      <c r="O178" s="3"/>
      <c r="P178" s="3"/>
      <c r="Q178" s="3"/>
      <c r="R178" s="3"/>
      <c r="S178" s="3"/>
      <c r="T178" s="3"/>
      <c r="U178" s="3"/>
      <c r="V178" s="3"/>
      <c r="W178" s="3"/>
      <c r="X178" s="3"/>
      <c r="Y178" s="3"/>
      <c r="Z178" s="3"/>
    </row>
    <row r="179" ht="15.0" customHeight="1">
      <c r="A179" s="70"/>
      <c r="B179" s="70"/>
      <c r="C179" s="70"/>
      <c r="D179" s="70"/>
      <c r="E179" s="70"/>
      <c r="F179" s="70"/>
      <c r="G179" s="38" t="str">
        <f t="shared" si="11"/>
        <v/>
      </c>
      <c r="H179" s="38" t="str">
        <f t="shared" si="12"/>
        <v/>
      </c>
      <c r="I179" s="3"/>
      <c r="J179" s="3"/>
      <c r="K179" s="3"/>
      <c r="L179" s="3"/>
      <c r="M179" s="3"/>
      <c r="N179" s="3"/>
      <c r="O179" s="3"/>
      <c r="P179" s="3"/>
      <c r="Q179" s="3"/>
      <c r="R179" s="3"/>
      <c r="S179" s="3"/>
      <c r="T179" s="3"/>
      <c r="U179" s="3"/>
      <c r="V179" s="3"/>
      <c r="W179" s="3"/>
      <c r="X179" s="3"/>
      <c r="Y179" s="3"/>
      <c r="Z179" s="3"/>
    </row>
    <row r="180" ht="15.0" customHeight="1">
      <c r="A180" s="69"/>
      <c r="B180" s="69"/>
      <c r="C180" s="69"/>
      <c r="D180" s="69"/>
      <c r="E180" s="69"/>
      <c r="F180" s="69"/>
      <c r="G180" s="60" t="str">
        <f t="shared" si="11"/>
        <v/>
      </c>
      <c r="H180" s="60" t="str">
        <f t="shared" si="12"/>
        <v/>
      </c>
      <c r="I180" s="3"/>
      <c r="J180" s="3"/>
      <c r="K180" s="3"/>
      <c r="L180" s="3"/>
      <c r="M180" s="3"/>
      <c r="N180" s="3"/>
      <c r="O180" s="3"/>
      <c r="P180" s="3"/>
      <c r="Q180" s="3"/>
      <c r="R180" s="3"/>
      <c r="S180" s="3"/>
      <c r="T180" s="3"/>
      <c r="U180" s="3"/>
      <c r="V180" s="3"/>
      <c r="W180" s="3"/>
      <c r="X180" s="3"/>
      <c r="Y180" s="3"/>
      <c r="Z180" s="3"/>
    </row>
    <row r="181" ht="15.0" customHeight="1">
      <c r="A181" s="70"/>
      <c r="B181" s="70"/>
      <c r="C181" s="70"/>
      <c r="D181" s="70"/>
      <c r="E181" s="70"/>
      <c r="F181" s="70"/>
      <c r="G181" s="38" t="str">
        <f t="shared" si="11"/>
        <v/>
      </c>
      <c r="H181" s="38" t="str">
        <f t="shared" si="12"/>
        <v/>
      </c>
      <c r="I181" s="3"/>
      <c r="J181" s="3"/>
      <c r="K181" s="3"/>
      <c r="L181" s="3"/>
      <c r="M181" s="3"/>
      <c r="N181" s="3"/>
      <c r="O181" s="3"/>
      <c r="P181" s="3"/>
      <c r="Q181" s="3"/>
      <c r="R181" s="3"/>
      <c r="S181" s="3"/>
      <c r="T181" s="3"/>
      <c r="U181" s="3"/>
      <c r="V181" s="3"/>
      <c r="W181" s="3"/>
      <c r="X181" s="3"/>
      <c r="Y181" s="3"/>
      <c r="Z181" s="3"/>
    </row>
    <row r="182" ht="15.0" customHeight="1">
      <c r="A182" s="69"/>
      <c r="B182" s="69"/>
      <c r="C182" s="69"/>
      <c r="D182" s="69"/>
      <c r="E182" s="69"/>
      <c r="F182" s="69"/>
      <c r="G182" s="60" t="str">
        <f t="shared" si="11"/>
        <v/>
      </c>
      <c r="H182" s="60" t="str">
        <f t="shared" si="12"/>
        <v/>
      </c>
      <c r="I182" s="3"/>
      <c r="J182" s="3"/>
      <c r="K182" s="3"/>
      <c r="L182" s="3"/>
      <c r="M182" s="3"/>
      <c r="N182" s="3"/>
      <c r="O182" s="3"/>
      <c r="P182" s="3"/>
      <c r="Q182" s="3"/>
      <c r="R182" s="3"/>
      <c r="S182" s="3"/>
      <c r="T182" s="3"/>
      <c r="U182" s="3"/>
      <c r="V182" s="3"/>
      <c r="W182" s="3"/>
      <c r="X182" s="3"/>
      <c r="Y182" s="3"/>
      <c r="Z182" s="3"/>
    </row>
    <row r="183" ht="15.0" customHeight="1">
      <c r="A183" s="70"/>
      <c r="B183" s="70"/>
      <c r="C183" s="70"/>
      <c r="D183" s="70"/>
      <c r="E183" s="70"/>
      <c r="F183" s="70"/>
      <c r="G183" s="38" t="str">
        <f t="shared" si="11"/>
        <v/>
      </c>
      <c r="H183" s="38" t="str">
        <f t="shared" si="12"/>
        <v/>
      </c>
      <c r="I183" s="3"/>
      <c r="J183" s="3"/>
      <c r="K183" s="3"/>
      <c r="L183" s="3"/>
      <c r="M183" s="3"/>
      <c r="N183" s="3"/>
      <c r="O183" s="3"/>
      <c r="P183" s="3"/>
      <c r="Q183" s="3"/>
      <c r="R183" s="3"/>
      <c r="S183" s="3"/>
      <c r="T183" s="3"/>
      <c r="U183" s="3"/>
      <c r="V183" s="3"/>
      <c r="W183" s="3"/>
      <c r="X183" s="3"/>
      <c r="Y183" s="3"/>
      <c r="Z183" s="3"/>
    </row>
    <row r="184" ht="15.0" customHeight="1">
      <c r="A184" s="69"/>
      <c r="B184" s="69"/>
      <c r="C184" s="69"/>
      <c r="D184" s="69"/>
      <c r="E184" s="69"/>
      <c r="F184" s="69"/>
      <c r="G184" s="60" t="str">
        <f t="shared" si="11"/>
        <v/>
      </c>
      <c r="H184" s="60" t="str">
        <f t="shared" si="12"/>
        <v/>
      </c>
      <c r="I184" s="3"/>
      <c r="J184" s="3"/>
      <c r="K184" s="3"/>
      <c r="L184" s="3"/>
      <c r="M184" s="3"/>
      <c r="N184" s="3"/>
      <c r="O184" s="3"/>
      <c r="P184" s="3"/>
      <c r="Q184" s="3"/>
      <c r="R184" s="3"/>
      <c r="S184" s="3"/>
      <c r="T184" s="3"/>
      <c r="U184" s="3"/>
      <c r="V184" s="3"/>
      <c r="W184" s="3"/>
      <c r="X184" s="3"/>
      <c r="Y184" s="3"/>
      <c r="Z184" s="3"/>
    </row>
    <row r="185" ht="15.0" customHeight="1">
      <c r="A185" s="70"/>
      <c r="B185" s="70"/>
      <c r="C185" s="70"/>
      <c r="D185" s="70"/>
      <c r="E185" s="70"/>
      <c r="F185" s="70"/>
      <c r="G185" s="38" t="str">
        <f t="shared" si="11"/>
        <v/>
      </c>
      <c r="H185" s="38" t="str">
        <f t="shared" si="12"/>
        <v/>
      </c>
      <c r="I185" s="3"/>
      <c r="J185" s="3"/>
      <c r="K185" s="3"/>
      <c r="L185" s="3"/>
      <c r="M185" s="3"/>
      <c r="N185" s="3"/>
      <c r="O185" s="3"/>
      <c r="P185" s="3"/>
      <c r="Q185" s="3"/>
      <c r="R185" s="3"/>
      <c r="S185" s="3"/>
      <c r="T185" s="3"/>
      <c r="U185" s="3"/>
      <c r="V185" s="3"/>
      <c r="W185" s="3"/>
      <c r="X185" s="3"/>
      <c r="Y185" s="3"/>
      <c r="Z185" s="3"/>
    </row>
    <row r="186" ht="15.0" customHeight="1">
      <c r="A186" s="69"/>
      <c r="B186" s="69"/>
      <c r="C186" s="69"/>
      <c r="D186" s="69"/>
      <c r="E186" s="69"/>
      <c r="F186" s="69"/>
      <c r="G186" s="60" t="str">
        <f t="shared" si="11"/>
        <v/>
      </c>
      <c r="H186" s="60" t="str">
        <f t="shared" si="12"/>
        <v/>
      </c>
      <c r="I186" s="3"/>
      <c r="J186" s="3"/>
      <c r="K186" s="3"/>
      <c r="L186" s="3"/>
      <c r="M186" s="3"/>
      <c r="N186" s="3"/>
      <c r="O186" s="3"/>
      <c r="P186" s="3"/>
      <c r="Q186" s="3"/>
      <c r="R186" s="3"/>
      <c r="S186" s="3"/>
      <c r="T186" s="3"/>
      <c r="U186" s="3"/>
      <c r="V186" s="3"/>
      <c r="W186" s="3"/>
      <c r="X186" s="3"/>
      <c r="Y186" s="3"/>
      <c r="Z186" s="3"/>
    </row>
    <row r="187" ht="15.0" customHeight="1">
      <c r="A187" s="70"/>
      <c r="B187" s="70"/>
      <c r="C187" s="70"/>
      <c r="D187" s="70"/>
      <c r="E187" s="70"/>
      <c r="F187" s="70"/>
      <c r="G187" s="38" t="str">
        <f t="shared" si="11"/>
        <v/>
      </c>
      <c r="H187" s="38" t="str">
        <f t="shared" si="12"/>
        <v/>
      </c>
      <c r="I187" s="3"/>
      <c r="J187" s="3"/>
      <c r="K187" s="3"/>
      <c r="L187" s="3"/>
      <c r="M187" s="3"/>
      <c r="N187" s="3"/>
      <c r="O187" s="3"/>
      <c r="P187" s="3"/>
      <c r="Q187" s="3"/>
      <c r="R187" s="3"/>
      <c r="S187" s="3"/>
      <c r="T187" s="3"/>
      <c r="U187" s="3"/>
      <c r="V187" s="3"/>
      <c r="W187" s="3"/>
      <c r="X187" s="3"/>
      <c r="Y187" s="3"/>
      <c r="Z187" s="3"/>
    </row>
    <row r="188" ht="15.0" customHeight="1">
      <c r="A188" s="69"/>
      <c r="B188" s="69"/>
      <c r="C188" s="69"/>
      <c r="D188" s="69"/>
      <c r="E188" s="69"/>
      <c r="F188" s="69"/>
      <c r="G188" s="60" t="str">
        <f t="shared" si="11"/>
        <v/>
      </c>
      <c r="H188" s="60" t="str">
        <f t="shared" si="12"/>
        <v/>
      </c>
      <c r="I188" s="3"/>
      <c r="J188" s="3"/>
      <c r="K188" s="3"/>
      <c r="L188" s="3"/>
      <c r="M188" s="3"/>
      <c r="N188" s="3"/>
      <c r="O188" s="3"/>
      <c r="P188" s="3"/>
      <c r="Q188" s="3"/>
      <c r="R188" s="3"/>
      <c r="S188" s="3"/>
      <c r="T188" s="3"/>
      <c r="U188" s="3"/>
      <c r="V188" s="3"/>
      <c r="W188" s="3"/>
      <c r="X188" s="3"/>
      <c r="Y188" s="3"/>
      <c r="Z188" s="3"/>
    </row>
    <row r="189" ht="15.0" customHeight="1">
      <c r="A189" s="70"/>
      <c r="B189" s="70"/>
      <c r="C189" s="70"/>
      <c r="D189" s="70"/>
      <c r="E189" s="70"/>
      <c r="F189" s="70"/>
      <c r="G189" s="38" t="str">
        <f t="shared" si="11"/>
        <v/>
      </c>
      <c r="H189" s="38" t="str">
        <f t="shared" si="12"/>
        <v/>
      </c>
      <c r="I189" s="3"/>
      <c r="J189" s="3"/>
      <c r="K189" s="3"/>
      <c r="L189" s="3"/>
      <c r="M189" s="3"/>
      <c r="N189" s="3"/>
      <c r="O189" s="3"/>
      <c r="P189" s="3"/>
      <c r="Q189" s="3"/>
      <c r="R189" s="3"/>
      <c r="S189" s="3"/>
      <c r="T189" s="3"/>
      <c r="U189" s="3"/>
      <c r="V189" s="3"/>
      <c r="W189" s="3"/>
      <c r="X189" s="3"/>
      <c r="Y189" s="3"/>
      <c r="Z189" s="3"/>
    </row>
    <row r="190" ht="15.0" customHeight="1">
      <c r="A190" s="69"/>
      <c r="B190" s="69"/>
      <c r="C190" s="69"/>
      <c r="D190" s="69"/>
      <c r="E190" s="69"/>
      <c r="F190" s="69"/>
      <c r="G190" s="60" t="str">
        <f t="shared" si="11"/>
        <v/>
      </c>
      <c r="H190" s="60" t="str">
        <f t="shared" si="12"/>
        <v/>
      </c>
      <c r="I190" s="3"/>
      <c r="J190" s="3"/>
      <c r="K190" s="3"/>
      <c r="L190" s="3"/>
      <c r="M190" s="3"/>
      <c r="N190" s="3"/>
      <c r="O190" s="3"/>
      <c r="P190" s="3"/>
      <c r="Q190" s="3"/>
      <c r="R190" s="3"/>
      <c r="S190" s="3"/>
      <c r="T190" s="3"/>
      <c r="U190" s="3"/>
      <c r="V190" s="3"/>
      <c r="W190" s="3"/>
      <c r="X190" s="3"/>
      <c r="Y190" s="3"/>
      <c r="Z190" s="3"/>
    </row>
    <row r="191" ht="15.0" customHeight="1">
      <c r="A191" s="70"/>
      <c r="B191" s="70"/>
      <c r="C191" s="70"/>
      <c r="D191" s="70"/>
      <c r="E191" s="70"/>
      <c r="F191" s="70"/>
      <c r="G191" s="38" t="str">
        <f t="shared" si="11"/>
        <v/>
      </c>
      <c r="H191" s="38" t="str">
        <f t="shared" si="12"/>
        <v/>
      </c>
      <c r="I191" s="3"/>
      <c r="J191" s="3"/>
      <c r="K191" s="3"/>
      <c r="L191" s="3"/>
      <c r="M191" s="3"/>
      <c r="N191" s="3"/>
      <c r="O191" s="3"/>
      <c r="P191" s="3"/>
      <c r="Q191" s="3"/>
      <c r="R191" s="3"/>
      <c r="S191" s="3"/>
      <c r="T191" s="3"/>
      <c r="U191" s="3"/>
      <c r="V191" s="3"/>
      <c r="W191" s="3"/>
      <c r="X191" s="3"/>
      <c r="Y191" s="3"/>
      <c r="Z191" s="3"/>
    </row>
    <row r="192" ht="15.0" customHeight="1">
      <c r="A192" s="69"/>
      <c r="B192" s="69"/>
      <c r="C192" s="69"/>
      <c r="D192" s="69"/>
      <c r="E192" s="69"/>
      <c r="F192" s="69"/>
      <c r="G192" s="60" t="str">
        <f t="shared" si="11"/>
        <v/>
      </c>
      <c r="H192" s="60" t="str">
        <f t="shared" si="12"/>
        <v/>
      </c>
      <c r="I192" s="3"/>
      <c r="J192" s="3"/>
      <c r="K192" s="3"/>
      <c r="L192" s="3"/>
      <c r="M192" s="3"/>
      <c r="N192" s="3"/>
      <c r="O192" s="3"/>
      <c r="P192" s="3"/>
      <c r="Q192" s="3"/>
      <c r="R192" s="3"/>
      <c r="S192" s="3"/>
      <c r="T192" s="3"/>
      <c r="U192" s="3"/>
      <c r="V192" s="3"/>
      <c r="W192" s="3"/>
      <c r="X192" s="3"/>
      <c r="Y192" s="3"/>
      <c r="Z192" s="3"/>
    </row>
    <row r="193" ht="15.0" customHeight="1">
      <c r="A193" s="70"/>
      <c r="B193" s="70"/>
      <c r="C193" s="70"/>
      <c r="D193" s="70"/>
      <c r="E193" s="70"/>
      <c r="F193" s="70"/>
      <c r="G193" s="38" t="str">
        <f t="shared" si="11"/>
        <v/>
      </c>
      <c r="H193" s="38" t="str">
        <f t="shared" si="12"/>
        <v/>
      </c>
      <c r="I193" s="3"/>
      <c r="J193" s="3"/>
      <c r="K193" s="3"/>
      <c r="L193" s="3"/>
      <c r="M193" s="3"/>
      <c r="N193" s="3"/>
      <c r="O193" s="3"/>
      <c r="P193" s="3"/>
      <c r="Q193" s="3"/>
      <c r="R193" s="3"/>
      <c r="S193" s="3"/>
      <c r="T193" s="3"/>
      <c r="U193" s="3"/>
      <c r="V193" s="3"/>
      <c r="W193" s="3"/>
      <c r="X193" s="3"/>
      <c r="Y193" s="3"/>
      <c r="Z193" s="3"/>
    </row>
    <row r="194" ht="15.0" customHeight="1">
      <c r="A194" s="69"/>
      <c r="B194" s="69"/>
      <c r="C194" s="69"/>
      <c r="D194" s="69"/>
      <c r="E194" s="69"/>
      <c r="F194" s="69"/>
      <c r="G194" s="60" t="str">
        <f t="shared" si="11"/>
        <v/>
      </c>
      <c r="H194" s="60" t="str">
        <f t="shared" si="12"/>
        <v/>
      </c>
      <c r="I194" s="3"/>
      <c r="J194" s="3"/>
      <c r="K194" s="3"/>
      <c r="L194" s="3"/>
      <c r="M194" s="3"/>
      <c r="N194" s="3"/>
      <c r="O194" s="3"/>
      <c r="P194" s="3"/>
      <c r="Q194" s="3"/>
      <c r="R194" s="3"/>
      <c r="S194" s="3"/>
      <c r="T194" s="3"/>
      <c r="U194" s="3"/>
      <c r="V194" s="3"/>
      <c r="W194" s="3"/>
      <c r="X194" s="3"/>
      <c r="Y194" s="3"/>
      <c r="Z194" s="3"/>
    </row>
    <row r="195" ht="15.0" customHeight="1">
      <c r="A195" s="70"/>
      <c r="B195" s="70"/>
      <c r="C195" s="70"/>
      <c r="D195" s="70"/>
      <c r="E195" s="70"/>
      <c r="F195" s="70"/>
      <c r="G195" s="38" t="str">
        <f t="shared" si="11"/>
        <v/>
      </c>
      <c r="H195" s="38" t="str">
        <f t="shared" si="12"/>
        <v/>
      </c>
      <c r="I195" s="3"/>
      <c r="J195" s="3"/>
      <c r="K195" s="3"/>
      <c r="L195" s="3"/>
      <c r="M195" s="3"/>
      <c r="N195" s="3"/>
      <c r="O195" s="3"/>
      <c r="P195" s="3"/>
      <c r="Q195" s="3"/>
      <c r="R195" s="3"/>
      <c r="S195" s="3"/>
      <c r="T195" s="3"/>
      <c r="U195" s="3"/>
      <c r="V195" s="3"/>
      <c r="W195" s="3"/>
      <c r="X195" s="3"/>
      <c r="Y195" s="3"/>
      <c r="Z195" s="3"/>
    </row>
    <row r="196" ht="15.0" customHeight="1">
      <c r="A196" s="69"/>
      <c r="B196" s="69"/>
      <c r="C196" s="69"/>
      <c r="D196" s="69"/>
      <c r="E196" s="69"/>
      <c r="F196" s="69"/>
      <c r="G196" s="60" t="str">
        <f t="shared" si="11"/>
        <v/>
      </c>
      <c r="H196" s="60" t="str">
        <f t="shared" si="12"/>
        <v/>
      </c>
      <c r="I196" s="3"/>
      <c r="J196" s="3"/>
      <c r="K196" s="3"/>
      <c r="L196" s="3"/>
      <c r="M196" s="3"/>
      <c r="N196" s="3"/>
      <c r="O196" s="3"/>
      <c r="P196" s="3"/>
      <c r="Q196" s="3"/>
      <c r="R196" s="3"/>
      <c r="S196" s="3"/>
      <c r="T196" s="3"/>
      <c r="U196" s="3"/>
      <c r="V196" s="3"/>
      <c r="W196" s="3"/>
      <c r="X196" s="3"/>
      <c r="Y196" s="3"/>
      <c r="Z196" s="3"/>
    </row>
    <row r="197" ht="15.0" customHeight="1">
      <c r="A197" s="70"/>
      <c r="B197" s="70"/>
      <c r="C197" s="70"/>
      <c r="D197" s="70"/>
      <c r="E197" s="70"/>
      <c r="F197" s="70"/>
      <c r="G197" s="38" t="str">
        <f t="shared" si="11"/>
        <v/>
      </c>
      <c r="H197" s="38" t="str">
        <f t="shared" si="12"/>
        <v/>
      </c>
      <c r="I197" s="3"/>
      <c r="J197" s="3"/>
      <c r="K197" s="3"/>
      <c r="L197" s="3"/>
      <c r="M197" s="3"/>
      <c r="N197" s="3"/>
      <c r="O197" s="3"/>
      <c r="P197" s="3"/>
      <c r="Q197" s="3"/>
      <c r="R197" s="3"/>
      <c r="S197" s="3"/>
      <c r="T197" s="3"/>
      <c r="U197" s="3"/>
      <c r="V197" s="3"/>
      <c r="W197" s="3"/>
      <c r="X197" s="3"/>
      <c r="Y197" s="3"/>
      <c r="Z197" s="3"/>
    </row>
    <row r="198" ht="15.0" customHeight="1">
      <c r="A198" s="69"/>
      <c r="B198" s="69"/>
      <c r="C198" s="69"/>
      <c r="D198" s="69"/>
      <c r="E198" s="69"/>
      <c r="F198" s="69"/>
      <c r="G198" s="60" t="str">
        <f t="shared" si="11"/>
        <v/>
      </c>
      <c r="H198" s="60" t="str">
        <f t="shared" si="12"/>
        <v/>
      </c>
      <c r="I198" s="3"/>
      <c r="J198" s="3"/>
      <c r="K198" s="3"/>
      <c r="L198" s="3"/>
      <c r="M198" s="3"/>
      <c r="N198" s="3"/>
      <c r="O198" s="3"/>
      <c r="P198" s="3"/>
      <c r="Q198" s="3"/>
      <c r="R198" s="3"/>
      <c r="S198" s="3"/>
      <c r="T198" s="3"/>
      <c r="U198" s="3"/>
      <c r="V198" s="3"/>
      <c r="W198" s="3"/>
      <c r="X198" s="3"/>
      <c r="Y198" s="3"/>
      <c r="Z198" s="3"/>
    </row>
    <row r="199" ht="15.0" customHeight="1">
      <c r="A199" s="70"/>
      <c r="B199" s="70"/>
      <c r="C199" s="70"/>
      <c r="D199" s="70"/>
      <c r="E199" s="70"/>
      <c r="F199" s="70"/>
      <c r="G199" s="38" t="str">
        <f t="shared" si="11"/>
        <v/>
      </c>
      <c r="H199" s="38" t="str">
        <f t="shared" si="12"/>
        <v/>
      </c>
      <c r="I199" s="3"/>
      <c r="J199" s="3"/>
      <c r="K199" s="3"/>
      <c r="L199" s="3"/>
      <c r="M199" s="3"/>
      <c r="N199" s="3"/>
      <c r="O199" s="3"/>
      <c r="P199" s="3"/>
      <c r="Q199" s="3"/>
      <c r="R199" s="3"/>
      <c r="S199" s="3"/>
      <c r="T199" s="3"/>
      <c r="U199" s="3"/>
      <c r="V199" s="3"/>
      <c r="W199" s="3"/>
      <c r="X199" s="3"/>
      <c r="Y199" s="3"/>
      <c r="Z199" s="3"/>
    </row>
    <row r="200" ht="15.0" customHeight="1">
      <c r="A200" s="69"/>
      <c r="B200" s="69"/>
      <c r="C200" s="69"/>
      <c r="D200" s="69"/>
      <c r="E200" s="69"/>
      <c r="F200" s="69"/>
      <c r="G200" s="60" t="str">
        <f t="shared" si="11"/>
        <v/>
      </c>
      <c r="H200" s="60" t="str">
        <f t="shared" si="12"/>
        <v/>
      </c>
      <c r="I200" s="3"/>
      <c r="J200" s="3"/>
      <c r="K200" s="3"/>
      <c r="L200" s="3"/>
      <c r="M200" s="3"/>
      <c r="N200" s="3"/>
      <c r="O200" s="3"/>
      <c r="P200" s="3"/>
      <c r="Q200" s="3"/>
      <c r="R200" s="3"/>
      <c r="S200" s="3"/>
      <c r="T200" s="3"/>
      <c r="U200" s="3"/>
      <c r="V200" s="3"/>
      <c r="W200" s="3"/>
      <c r="X200" s="3"/>
      <c r="Y200" s="3"/>
      <c r="Z200" s="3"/>
    </row>
    <row r="201" ht="15.0" customHeight="1">
      <c r="A201" s="70"/>
      <c r="B201" s="70"/>
      <c r="C201" s="70"/>
      <c r="D201" s="70"/>
      <c r="E201" s="70"/>
      <c r="F201" s="70"/>
      <c r="G201" s="38" t="str">
        <f t="shared" si="11"/>
        <v/>
      </c>
      <c r="H201" s="38" t="str">
        <f t="shared" si="12"/>
        <v/>
      </c>
      <c r="I201" s="3"/>
      <c r="J201" s="3"/>
      <c r="K201" s="3"/>
      <c r="L201" s="3"/>
      <c r="M201" s="3"/>
      <c r="N201" s="3"/>
      <c r="O201" s="3"/>
      <c r="P201" s="3"/>
      <c r="Q201" s="3"/>
      <c r="R201" s="3"/>
      <c r="S201" s="3"/>
      <c r="T201" s="3"/>
      <c r="U201" s="3"/>
      <c r="V201" s="3"/>
      <c r="W201" s="3"/>
      <c r="X201" s="3"/>
      <c r="Y201" s="3"/>
      <c r="Z201" s="3"/>
    </row>
    <row r="202" ht="15.0" customHeight="1">
      <c r="A202" s="69"/>
      <c r="B202" s="69"/>
      <c r="C202" s="69"/>
      <c r="D202" s="69"/>
      <c r="E202" s="69"/>
      <c r="F202" s="69"/>
      <c r="G202" s="60" t="str">
        <f t="shared" si="11"/>
        <v/>
      </c>
      <c r="H202" s="60" t="str">
        <f t="shared" si="12"/>
        <v/>
      </c>
      <c r="I202" s="3"/>
      <c r="J202" s="3"/>
      <c r="K202" s="3"/>
      <c r="L202" s="3"/>
      <c r="M202" s="3"/>
      <c r="N202" s="3"/>
      <c r="O202" s="3"/>
      <c r="P202" s="3"/>
      <c r="Q202" s="3"/>
      <c r="R202" s="3"/>
      <c r="S202" s="3"/>
      <c r="T202" s="3"/>
      <c r="U202" s="3"/>
      <c r="V202" s="3"/>
      <c r="W202" s="3"/>
      <c r="X202" s="3"/>
      <c r="Y202" s="3"/>
      <c r="Z202" s="3"/>
    </row>
    <row r="203" ht="15.0" customHeight="1">
      <c r="A203" s="70"/>
      <c r="B203" s="70"/>
      <c r="C203" s="70"/>
      <c r="D203" s="70"/>
      <c r="E203" s="70"/>
      <c r="F203" s="70"/>
      <c r="G203" s="38" t="str">
        <f t="shared" si="11"/>
        <v/>
      </c>
      <c r="H203" s="38" t="str">
        <f t="shared" si="12"/>
        <v/>
      </c>
      <c r="I203" s="3"/>
      <c r="J203" s="3"/>
      <c r="K203" s="3"/>
      <c r="L203" s="3"/>
      <c r="M203" s="3"/>
      <c r="N203" s="3"/>
      <c r="O203" s="3"/>
      <c r="P203" s="3"/>
      <c r="Q203" s="3"/>
      <c r="R203" s="3"/>
      <c r="S203" s="3"/>
      <c r="T203" s="3"/>
      <c r="U203" s="3"/>
      <c r="V203" s="3"/>
      <c r="W203" s="3"/>
      <c r="X203" s="3"/>
      <c r="Y203" s="3"/>
      <c r="Z203" s="3"/>
    </row>
    <row r="204" ht="15.0" customHeight="1">
      <c r="A204" s="69"/>
      <c r="B204" s="69"/>
      <c r="C204" s="69"/>
      <c r="D204" s="69"/>
      <c r="E204" s="69"/>
      <c r="F204" s="69"/>
      <c r="G204" s="60" t="str">
        <f t="shared" si="11"/>
        <v/>
      </c>
      <c r="H204" s="60" t="str">
        <f t="shared" si="12"/>
        <v/>
      </c>
      <c r="I204" s="3"/>
      <c r="J204" s="3"/>
      <c r="K204" s="3"/>
      <c r="L204" s="3"/>
      <c r="M204" s="3"/>
      <c r="N204" s="3"/>
      <c r="O204" s="3"/>
      <c r="P204" s="3"/>
      <c r="Q204" s="3"/>
      <c r="R204" s="3"/>
      <c r="S204" s="3"/>
      <c r="T204" s="3"/>
      <c r="U204" s="3"/>
      <c r="V204" s="3"/>
      <c r="W204" s="3"/>
      <c r="X204" s="3"/>
      <c r="Y204" s="3"/>
      <c r="Z204" s="3"/>
    </row>
    <row r="205" ht="15.0" customHeight="1">
      <c r="A205" s="70"/>
      <c r="B205" s="70"/>
      <c r="C205" s="70"/>
      <c r="D205" s="70"/>
      <c r="E205" s="70"/>
      <c r="F205" s="70"/>
      <c r="G205" s="38" t="str">
        <f t="shared" si="11"/>
        <v/>
      </c>
      <c r="H205" s="38" t="str">
        <f t="shared" si="12"/>
        <v/>
      </c>
      <c r="I205" s="3"/>
      <c r="J205" s="3"/>
      <c r="K205" s="3"/>
      <c r="L205" s="3"/>
      <c r="M205" s="3"/>
      <c r="N205" s="3"/>
      <c r="O205" s="3"/>
      <c r="P205" s="3"/>
      <c r="Q205" s="3"/>
      <c r="R205" s="3"/>
      <c r="S205" s="3"/>
      <c r="T205" s="3"/>
      <c r="U205" s="3"/>
      <c r="V205" s="3"/>
      <c r="W205" s="3"/>
      <c r="X205" s="3"/>
      <c r="Y205" s="3"/>
      <c r="Z205" s="3"/>
    </row>
    <row r="206" ht="15.0" customHeight="1">
      <c r="A206" s="69"/>
      <c r="B206" s="69"/>
      <c r="C206" s="69"/>
      <c r="D206" s="69"/>
      <c r="E206" s="69"/>
      <c r="F206" s="69"/>
      <c r="G206" s="60" t="str">
        <f t="shared" si="11"/>
        <v/>
      </c>
      <c r="H206" s="60" t="str">
        <f t="shared" si="12"/>
        <v/>
      </c>
      <c r="I206" s="3"/>
      <c r="J206" s="3"/>
      <c r="K206" s="3"/>
      <c r="L206" s="3"/>
      <c r="M206" s="3"/>
      <c r="N206" s="3"/>
      <c r="O206" s="3"/>
      <c r="P206" s="3"/>
      <c r="Q206" s="3"/>
      <c r="R206" s="3"/>
      <c r="S206" s="3"/>
      <c r="T206" s="3"/>
      <c r="U206" s="3"/>
      <c r="V206" s="3"/>
      <c r="W206" s="3"/>
      <c r="X206" s="3"/>
      <c r="Y206" s="3"/>
      <c r="Z206" s="3"/>
    </row>
    <row r="207" ht="14.2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4.2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4.2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4.2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4.2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4.2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4.2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4.2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4.2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4.2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4.2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4.2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4.2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4.2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4.2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4.2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4.2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4.2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4.2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4.2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4.2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4.2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4.2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4.2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4.2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4.2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4.2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4.2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4.2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4.2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4.2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4.2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4.2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4.2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4.2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4.2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4.2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4.2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4.2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4.2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4.2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4.2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4.2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4.2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4.2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4.2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4.2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4.2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4.2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4.2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4.2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4.2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4.2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4.2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4.2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4.2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4.2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4.2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4.2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4.2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4.2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4.2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4.2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4.2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4.2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4.2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4.2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4.2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4.2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4.2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4.2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4.2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4.2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4.2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4.2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4.2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4.2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4.2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4.2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4.2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4.2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4.2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4.2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4.2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4.2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4.2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4.2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4.2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4.2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4.2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4.2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4.2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4.2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4.2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4.2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4.2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4.2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4.2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4.2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4.2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4.2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4.2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4.2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4.2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4.2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4.2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4.2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4.2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4.2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4.2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4.2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4.2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4.2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4.2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4.2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4.2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4.2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4.2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4.2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4.2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4.2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4.2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4.2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4.2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4.2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4.2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4.2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4.2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4.2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4.2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4.2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4.2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4.2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4.2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4.2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4.2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4.2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4.2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4.2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4.2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4.2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4.2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4.2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4.2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4.2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4.2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4.2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4.2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4.2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4.2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4.2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4.2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4.2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4.2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4.2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4.2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4.2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4.2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4.2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4.2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4.2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4.2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4.2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4.2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4.2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4.2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4.2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4.2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4.2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4.2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4.2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4.2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4.2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4.2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4.2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4.2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4.2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4.2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4.2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4.2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4.2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4.2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4.2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4.2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4.2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4.2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4.2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4.2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4.2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4.2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4.2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4.2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4.2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4.2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4.2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4.2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4.2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4.2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4.2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4.2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4.2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4.2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4.2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4.2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4.2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4.2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4.2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4.2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4.2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4.2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4.2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4.2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4.2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4.2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4.2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4.2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4.2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4.2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4.2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4.2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4.2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4.2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4.2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4.2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4.2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4.2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4.2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4.2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4.2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4.2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4.2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4.2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4.2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4.2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4.2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4.2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4.2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4.2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4.2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4.2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4.2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4.2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4.2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4.2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4.2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4.2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4.2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4.2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4.2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4.2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4.2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4.2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4.2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4.2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4.2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4.2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4.2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4.2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4.2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4.2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4.2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4.2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4.2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4.2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4.2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4.2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4.2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4.2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4.2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4.2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4.2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4.2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4.2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4.2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4.2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4.2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4.2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4.2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4.2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4.2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4.2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4.2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4.2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4.2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4.2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4.2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4.2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4.2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4.2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4.2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4.2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4.2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4.2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4.2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4.2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4.2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4.2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4.2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4.2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4.2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4.2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4.2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4.2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4.2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4.2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4.2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4.2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4.2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4.2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4.2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4.2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4.2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4.2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4.2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4.2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4.2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4.2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4.2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4.2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4.2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4.2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4.2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4.2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4.2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4.2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4.2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4.2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4.2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4.2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4.2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4.2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4.2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4.2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4.2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4.2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4.2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4.2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4.2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4.2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4.2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4.2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4.2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4.2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4.2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4.2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4.2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4.2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4.2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4.2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4.2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4.2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4.2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4.2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4.2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4.2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4.2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4.2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4.2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4.2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4.2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4.2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4.2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4.2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4.2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4.2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4.2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4.2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4.2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4.2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4.2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4.2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4.2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4.2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4.2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4.2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4.2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4.2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4.2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4.2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4.2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4.2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4.2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4.2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4.2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4.2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4.2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4.2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4.2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4.2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4.2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4.2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4.2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4.2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4.2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4.2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4.2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4.2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4.2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4.2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4.2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4.2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4.2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4.2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4.2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4.2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4.2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4.2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4.2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4.2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4.2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4.2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4.2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4.2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4.2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4.2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4.2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4.2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4.2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4.2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4.2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4.2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4.2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4.2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4.2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4.2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4.2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4.2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4.2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4.2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4.2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4.2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4.2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4.2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4.2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4.2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4.2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4.2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4.2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4.2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4.2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4.2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4.2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4.2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4.2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4.2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4.2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4.2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4.2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4.2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4.2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4.2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4.2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4.2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4.2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4.2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4.2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4.2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4.2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4.2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4.2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4.2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4.2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4.2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4.2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4.2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4.2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4.2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4.2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4.2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4.2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4.2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4.2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4.2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4.2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4.2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4.2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4.2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4.2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4.2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4.2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4.2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4.2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4.2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4.2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4.2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4.2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4.2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4.2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4.2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4.2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4.2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4.2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4.2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4.2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4.2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4.2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4.2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4.2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4.2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4.2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4.2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4.2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4.2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4.2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4.2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4.2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4.2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4.2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4.2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4.2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4.2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4.2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4.2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4.2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4.2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4.2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4.2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4.2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4.2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4.2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4.2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4.2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4.2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4.2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4.2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4.2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4.2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4.2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4.2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4.2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4.2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4.2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4.2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4.2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4.2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4.2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4.2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4.2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4.2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4.2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4.2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4.2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4.2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4.2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4.2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4.2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4.2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4.2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4.2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4.2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4.2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4.2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4.2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4.2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4.2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4.2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4.2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4.2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4.2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4.2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4.2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4.2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4.2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4.2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4.2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4.2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4.2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4.2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4.2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4.2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4.2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4.2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4.2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4.2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4.2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4.2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4.2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4.2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4.2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4.2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4.2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4.2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4.2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4.2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4.2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4.2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4.2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4.2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4.2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4.2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4.2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4.2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4.2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4.2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4.2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4.2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4.2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4.2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4.2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4.2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4.2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4.2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4.2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4.2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4.2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4.2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4.2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4.2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4.2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4.2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4.2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4.2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4.2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4.2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4.2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4.2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4.2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4.2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4.2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4.2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4.2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4.2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4.2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4.2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4.2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4.2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4.2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4.2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4.2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4.2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4.2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4.2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4.2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4.2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4.2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4.2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4.2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4.2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4.2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4.2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4.2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4.2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4.2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4.2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4.2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4.2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4.2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4.2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4.2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4.2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4.2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4.2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4.2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4.2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4.2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4.2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4.2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4.2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4.2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4.2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4.2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4.2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4.2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4.2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4.2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4.2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4.2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4.2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4.2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4.2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4.2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4.2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4.2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4.2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4.2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4.2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4.2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4.2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4.2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4.2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4.2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4.2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4.2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4.2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4.2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4.2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4.2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4.2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4.2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4.2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4.2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4.2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4.2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4.2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4.2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4.2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4.2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4.2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4.2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4.2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4.2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4.2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4.2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4.2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4.2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4.2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4.2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4.2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4.2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4.2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4.2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4.2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4.2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4.2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4.2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4.2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4.2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4.2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4.2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4.2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4.2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4.2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4.2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4.2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4.2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4.2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4.2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4.2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4.2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4.2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4.2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4.2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4.2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4.2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4.2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4.2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4.2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4.2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4.2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4.2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4.2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4.2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4.2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4.2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4.2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4.2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4.2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4.2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4.2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4.2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4.2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4.2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4.2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4.2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4.2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4.2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4.2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4.2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4.2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4.2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4.2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4.2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4.2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4.2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4.2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4.2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4.2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4.2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4.2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4.2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4.2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4.2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4.2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4.2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4.2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4.2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4.2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4.2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4.2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4.2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4.2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4.2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4.2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4.2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4.2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4.2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4.2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4.2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4.2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4.2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4.2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4.2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4.2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4.2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1.0" footer="0.0" header="0.0" left="0.75" right="0.75" top="1.0"/>
  <pageSetup orientation="portrait"/>
  <headerFooter>
    <oddFooter>&amp;C000000&amp;P</oddFooter>
  </headerFooter>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50.0"/>
    <col customWidth="1" min="2" max="2" width="16.0"/>
    <col customWidth="1" min="3" max="3" width="62.0"/>
    <col customWidth="1" min="4" max="26" width="8.71"/>
  </cols>
  <sheetData>
    <row r="1" ht="17.25" customHeight="1">
      <c r="A1" s="6" t="s">
        <v>51</v>
      </c>
      <c r="B1" s="1"/>
      <c r="C1" s="1"/>
      <c r="D1" s="1"/>
      <c r="E1" s="1"/>
      <c r="F1" s="3"/>
      <c r="G1" s="3"/>
      <c r="H1" s="3"/>
      <c r="I1" s="3"/>
      <c r="J1" s="3"/>
      <c r="K1" s="3"/>
      <c r="L1" s="3"/>
      <c r="M1" s="3"/>
      <c r="N1" s="3"/>
      <c r="O1" s="3"/>
      <c r="P1" s="3"/>
      <c r="Q1" s="3"/>
      <c r="R1" s="3"/>
      <c r="S1" s="3"/>
      <c r="T1" s="3"/>
      <c r="U1" s="3"/>
      <c r="V1" s="3"/>
      <c r="W1" s="3"/>
      <c r="X1" s="3"/>
      <c r="Y1" s="3"/>
      <c r="Z1" s="3"/>
    </row>
    <row r="2" ht="13.5" customHeight="1">
      <c r="A2" s="1"/>
      <c r="B2" s="1"/>
      <c r="C2" s="1"/>
      <c r="D2" s="1"/>
      <c r="E2" s="1"/>
      <c r="F2" s="3"/>
      <c r="G2" s="3"/>
      <c r="H2" s="3"/>
      <c r="I2" s="3"/>
      <c r="J2" s="3"/>
      <c r="K2" s="3"/>
      <c r="L2" s="3"/>
      <c r="M2" s="3"/>
      <c r="N2" s="3"/>
      <c r="O2" s="3"/>
      <c r="P2" s="3"/>
      <c r="Q2" s="3"/>
      <c r="R2" s="3"/>
      <c r="S2" s="3"/>
      <c r="T2" s="3"/>
      <c r="U2" s="3"/>
      <c r="V2" s="3"/>
      <c r="W2" s="3"/>
      <c r="X2" s="3"/>
      <c r="Y2" s="3"/>
      <c r="Z2" s="3"/>
    </row>
    <row r="3" ht="15.0" customHeight="1">
      <c r="A3" s="9" t="s">
        <v>315</v>
      </c>
      <c r="B3" s="12"/>
      <c r="C3" s="12"/>
      <c r="D3" s="1"/>
      <c r="E3" s="1"/>
      <c r="F3" s="3"/>
      <c r="G3" s="3"/>
      <c r="H3" s="3"/>
      <c r="I3" s="3"/>
      <c r="J3" s="3"/>
      <c r="K3" s="3"/>
      <c r="L3" s="3"/>
      <c r="M3" s="3"/>
      <c r="N3" s="3"/>
      <c r="O3" s="3"/>
      <c r="P3" s="3"/>
      <c r="Q3" s="3"/>
      <c r="R3" s="3"/>
      <c r="S3" s="3"/>
      <c r="T3" s="3"/>
      <c r="U3" s="3"/>
      <c r="V3" s="3"/>
      <c r="W3" s="3"/>
      <c r="X3" s="3"/>
      <c r="Y3" s="3"/>
      <c r="Z3" s="3"/>
    </row>
    <row r="4" ht="15.0" customHeight="1">
      <c r="A4" s="16" t="s">
        <v>316</v>
      </c>
      <c r="B4" s="16" t="s">
        <v>317</v>
      </c>
      <c r="C4" s="16" t="s">
        <v>127</v>
      </c>
      <c r="D4" s="18"/>
      <c r="E4" s="1"/>
      <c r="F4" s="3"/>
      <c r="G4" s="3"/>
      <c r="H4" s="3"/>
      <c r="I4" s="3"/>
      <c r="J4" s="3"/>
      <c r="K4" s="3"/>
      <c r="L4" s="3"/>
      <c r="M4" s="3"/>
      <c r="N4" s="3"/>
      <c r="O4" s="3"/>
      <c r="P4" s="3"/>
      <c r="Q4" s="3"/>
      <c r="R4" s="3"/>
      <c r="S4" s="3"/>
      <c r="T4" s="3"/>
      <c r="U4" s="3"/>
      <c r="V4" s="3"/>
      <c r="W4" s="3"/>
      <c r="X4" s="3"/>
      <c r="Y4" s="3"/>
      <c r="Z4" s="3"/>
    </row>
    <row r="5" ht="15.0" customHeight="1">
      <c r="A5" s="71" t="s">
        <v>318</v>
      </c>
      <c r="B5" s="48" t="s">
        <v>319</v>
      </c>
      <c r="C5" s="23" t="s">
        <v>320</v>
      </c>
      <c r="D5" s="18"/>
      <c r="E5" s="1"/>
      <c r="F5" s="3"/>
      <c r="G5" s="3"/>
      <c r="H5" s="3"/>
      <c r="I5" s="3"/>
      <c r="J5" s="3"/>
      <c r="K5" s="3"/>
      <c r="L5" s="3"/>
      <c r="M5" s="3"/>
      <c r="N5" s="3"/>
      <c r="O5" s="3"/>
      <c r="P5" s="3"/>
      <c r="Q5" s="3"/>
      <c r="R5" s="3"/>
      <c r="S5" s="3"/>
      <c r="T5" s="3"/>
      <c r="U5" s="3"/>
      <c r="V5" s="3"/>
      <c r="W5" s="3"/>
      <c r="X5" s="3"/>
      <c r="Y5" s="3"/>
      <c r="Z5" s="3"/>
    </row>
    <row r="6" ht="21.75" customHeight="1">
      <c r="A6" s="71" t="s">
        <v>321</v>
      </c>
      <c r="B6" s="48" t="s">
        <v>319</v>
      </c>
      <c r="C6" s="23" t="s">
        <v>322</v>
      </c>
      <c r="D6" s="18"/>
      <c r="E6" s="1"/>
      <c r="F6" s="3"/>
      <c r="G6" s="3"/>
      <c r="H6" s="3"/>
      <c r="I6" s="3"/>
      <c r="J6" s="3"/>
      <c r="K6" s="3"/>
      <c r="L6" s="3"/>
      <c r="M6" s="3"/>
      <c r="N6" s="3"/>
      <c r="O6" s="3"/>
      <c r="P6" s="3"/>
      <c r="Q6" s="3"/>
      <c r="R6" s="3"/>
      <c r="S6" s="3"/>
      <c r="T6" s="3"/>
      <c r="U6" s="3"/>
      <c r="V6" s="3"/>
      <c r="W6" s="3"/>
      <c r="X6" s="3"/>
      <c r="Y6" s="3"/>
      <c r="Z6" s="3"/>
    </row>
    <row r="7" ht="15.0" customHeight="1">
      <c r="A7" s="71" t="s">
        <v>323</v>
      </c>
      <c r="B7" s="48" t="s">
        <v>324</v>
      </c>
      <c r="C7" s="23" t="s">
        <v>325</v>
      </c>
      <c r="D7" s="18"/>
      <c r="E7" s="1"/>
      <c r="F7" s="3"/>
      <c r="G7" s="3"/>
      <c r="H7" s="3"/>
      <c r="I7" s="3"/>
      <c r="J7" s="3"/>
      <c r="K7" s="3"/>
      <c r="L7" s="3"/>
      <c r="M7" s="3"/>
      <c r="N7" s="3"/>
      <c r="O7" s="3"/>
      <c r="P7" s="3"/>
      <c r="Q7" s="3"/>
      <c r="R7" s="3"/>
      <c r="S7" s="3"/>
      <c r="T7" s="3"/>
      <c r="U7" s="3"/>
      <c r="V7" s="3"/>
      <c r="W7" s="3"/>
      <c r="X7" s="3"/>
      <c r="Y7" s="3"/>
      <c r="Z7" s="3"/>
    </row>
    <row r="8" ht="15.0" customHeight="1">
      <c r="A8" s="71" t="s">
        <v>326</v>
      </c>
      <c r="B8" s="48" t="s">
        <v>327</v>
      </c>
      <c r="C8" s="23" t="s">
        <v>328</v>
      </c>
      <c r="D8" s="18"/>
      <c r="E8" s="1"/>
      <c r="F8" s="3"/>
      <c r="G8" s="3"/>
      <c r="H8" s="3"/>
      <c r="I8" s="3"/>
      <c r="J8" s="3"/>
      <c r="K8" s="3"/>
      <c r="L8" s="3"/>
      <c r="M8" s="3"/>
      <c r="N8" s="3"/>
      <c r="O8" s="3"/>
      <c r="P8" s="3"/>
      <c r="Q8" s="3"/>
      <c r="R8" s="3"/>
      <c r="S8" s="3"/>
      <c r="T8" s="3"/>
      <c r="U8" s="3"/>
      <c r="V8" s="3"/>
      <c r="W8" s="3"/>
      <c r="X8" s="3"/>
      <c r="Y8" s="3"/>
      <c r="Z8" s="3"/>
    </row>
    <row r="9" ht="15.0" customHeight="1">
      <c r="A9" s="71" t="s">
        <v>329</v>
      </c>
      <c r="B9" s="48" t="s">
        <v>330</v>
      </c>
      <c r="C9" s="23" t="s">
        <v>331</v>
      </c>
      <c r="D9" s="18"/>
      <c r="E9" s="1"/>
      <c r="F9" s="3"/>
      <c r="G9" s="3"/>
      <c r="H9" s="3"/>
      <c r="I9" s="3"/>
      <c r="J9" s="3"/>
      <c r="K9" s="3"/>
      <c r="L9" s="3"/>
      <c r="M9" s="3"/>
      <c r="N9" s="3"/>
      <c r="O9" s="3"/>
      <c r="P9" s="3"/>
      <c r="Q9" s="3"/>
      <c r="R9" s="3"/>
      <c r="S9" s="3"/>
      <c r="T9" s="3"/>
      <c r="U9" s="3"/>
      <c r="V9" s="3"/>
      <c r="W9" s="3"/>
      <c r="X9" s="3"/>
      <c r="Y9" s="3"/>
      <c r="Z9" s="3"/>
    </row>
    <row r="10" ht="15.0" customHeight="1">
      <c r="A10" s="71" t="s">
        <v>332</v>
      </c>
      <c r="B10" s="48" t="s">
        <v>330</v>
      </c>
      <c r="C10" s="23" t="s">
        <v>333</v>
      </c>
      <c r="D10" s="18"/>
      <c r="E10" s="1"/>
      <c r="F10" s="3"/>
      <c r="G10" s="3"/>
      <c r="H10" s="3"/>
      <c r="I10" s="3"/>
      <c r="J10" s="3"/>
      <c r="K10" s="3"/>
      <c r="L10" s="3"/>
      <c r="M10" s="3"/>
      <c r="N10" s="3"/>
      <c r="O10" s="3"/>
      <c r="P10" s="3"/>
      <c r="Q10" s="3"/>
      <c r="R10" s="3"/>
      <c r="S10" s="3"/>
      <c r="T10" s="3"/>
      <c r="U10" s="3"/>
      <c r="V10" s="3"/>
      <c r="W10" s="3"/>
      <c r="X10" s="3"/>
      <c r="Y10" s="3"/>
      <c r="Z10" s="3"/>
    </row>
    <row r="11" ht="13.5" customHeight="1">
      <c r="A11" s="32"/>
      <c r="B11" s="32"/>
      <c r="C11" s="32"/>
      <c r="D11" s="1"/>
      <c r="E11" s="1"/>
      <c r="F11" s="3"/>
      <c r="G11" s="3"/>
      <c r="H11" s="3"/>
      <c r="I11" s="3"/>
      <c r="J11" s="3"/>
      <c r="K11" s="3"/>
      <c r="L11" s="3"/>
      <c r="M11" s="3"/>
      <c r="N11" s="3"/>
      <c r="O11" s="3"/>
      <c r="P11" s="3"/>
      <c r="Q11" s="3"/>
      <c r="R11" s="3"/>
      <c r="S11" s="3"/>
      <c r="T11" s="3"/>
      <c r="U11" s="3"/>
      <c r="V11" s="3"/>
      <c r="W11" s="3"/>
      <c r="X11" s="3"/>
      <c r="Y11" s="3"/>
      <c r="Z11" s="3"/>
    </row>
    <row r="12" ht="15.0" customHeight="1">
      <c r="A12" s="9" t="s">
        <v>334</v>
      </c>
      <c r="B12" s="12"/>
      <c r="C12" s="12"/>
      <c r="D12" s="1"/>
      <c r="E12" s="1"/>
      <c r="F12" s="3"/>
      <c r="G12" s="3"/>
      <c r="H12" s="3"/>
      <c r="I12" s="3"/>
      <c r="J12" s="3"/>
      <c r="K12" s="3"/>
      <c r="L12" s="3"/>
      <c r="M12" s="3"/>
      <c r="N12" s="3"/>
      <c r="O12" s="3"/>
      <c r="P12" s="3"/>
      <c r="Q12" s="3"/>
      <c r="R12" s="3"/>
      <c r="S12" s="3"/>
      <c r="T12" s="3"/>
      <c r="U12" s="3"/>
      <c r="V12" s="3"/>
      <c r="W12" s="3"/>
      <c r="X12" s="3"/>
      <c r="Y12" s="3"/>
      <c r="Z12" s="3"/>
    </row>
    <row r="13" ht="15.0" customHeight="1">
      <c r="A13" s="16" t="s">
        <v>335</v>
      </c>
      <c r="B13" s="16" t="s">
        <v>336</v>
      </c>
      <c r="C13" s="16" t="s">
        <v>337</v>
      </c>
      <c r="D13" s="18"/>
      <c r="E13" s="1"/>
      <c r="F13" s="3"/>
      <c r="G13" s="3"/>
      <c r="H13" s="3"/>
      <c r="I13" s="3"/>
      <c r="J13" s="3"/>
      <c r="K13" s="3"/>
      <c r="L13" s="3"/>
      <c r="M13" s="3"/>
      <c r="N13" s="3"/>
      <c r="O13" s="3"/>
      <c r="P13" s="3"/>
      <c r="Q13" s="3"/>
      <c r="R13" s="3"/>
      <c r="S13" s="3"/>
      <c r="T13" s="3"/>
      <c r="U13" s="3"/>
      <c r="V13" s="3"/>
      <c r="W13" s="3"/>
      <c r="X13" s="3"/>
      <c r="Y13" s="3"/>
      <c r="Z13" s="3"/>
    </row>
    <row r="14" ht="23.25" customHeight="1">
      <c r="A14" s="71" t="s">
        <v>338</v>
      </c>
      <c r="B14" s="72" t="s">
        <v>339</v>
      </c>
      <c r="C14" s="23" t="s">
        <v>340</v>
      </c>
      <c r="D14" s="18"/>
      <c r="E14" s="1"/>
      <c r="F14" s="3"/>
      <c r="G14" s="3"/>
      <c r="H14" s="3"/>
      <c r="I14" s="3"/>
      <c r="J14" s="3"/>
      <c r="K14" s="3"/>
      <c r="L14" s="3"/>
      <c r="M14" s="3"/>
      <c r="N14" s="3"/>
      <c r="O14" s="3"/>
      <c r="P14" s="3"/>
      <c r="Q14" s="3"/>
      <c r="R14" s="3"/>
      <c r="S14" s="3"/>
      <c r="T14" s="3"/>
      <c r="U14" s="3"/>
      <c r="V14" s="3"/>
      <c r="W14" s="3"/>
      <c r="X14" s="3"/>
      <c r="Y14" s="3"/>
      <c r="Z14" s="3"/>
    </row>
    <row r="15" ht="15.0" customHeight="1">
      <c r="A15" s="71" t="s">
        <v>341</v>
      </c>
      <c r="B15" s="72" t="s">
        <v>342</v>
      </c>
      <c r="C15" s="23" t="s">
        <v>343</v>
      </c>
      <c r="D15" s="18"/>
      <c r="E15" s="1"/>
      <c r="F15" s="3"/>
      <c r="G15" s="3"/>
      <c r="H15" s="3"/>
      <c r="I15" s="3"/>
      <c r="J15" s="3"/>
      <c r="K15" s="3"/>
      <c r="L15" s="3"/>
      <c r="M15" s="3"/>
      <c r="N15" s="3"/>
      <c r="O15" s="3"/>
      <c r="P15" s="3"/>
      <c r="Q15" s="3"/>
      <c r="R15" s="3"/>
      <c r="S15" s="3"/>
      <c r="T15" s="3"/>
      <c r="U15" s="3"/>
      <c r="V15" s="3"/>
      <c r="W15" s="3"/>
      <c r="X15" s="3"/>
      <c r="Y15" s="3"/>
      <c r="Z15" s="3"/>
    </row>
    <row r="16" ht="45.75" customHeight="1">
      <c r="A16" s="71" t="s">
        <v>344</v>
      </c>
      <c r="B16" s="72" t="s">
        <v>345</v>
      </c>
      <c r="C16" s="23" t="s">
        <v>346</v>
      </c>
      <c r="D16" s="18"/>
      <c r="E16" s="1"/>
      <c r="F16" s="3"/>
      <c r="G16" s="3"/>
      <c r="H16" s="3"/>
      <c r="I16" s="3"/>
      <c r="J16" s="3"/>
      <c r="K16" s="3"/>
      <c r="L16" s="3"/>
      <c r="M16" s="3"/>
      <c r="N16" s="3"/>
      <c r="O16" s="3"/>
      <c r="P16" s="3"/>
      <c r="Q16" s="3"/>
      <c r="R16" s="3"/>
      <c r="S16" s="3"/>
      <c r="T16" s="3"/>
      <c r="U16" s="3"/>
      <c r="V16" s="3"/>
      <c r="W16" s="3"/>
      <c r="X16" s="3"/>
      <c r="Y16" s="3"/>
      <c r="Z16" s="3"/>
    </row>
    <row r="17" ht="34.5" customHeight="1">
      <c r="A17" s="71" t="s">
        <v>347</v>
      </c>
      <c r="B17" s="72" t="s">
        <v>348</v>
      </c>
      <c r="C17" s="23" t="s">
        <v>349</v>
      </c>
      <c r="D17" s="18"/>
      <c r="E17" s="1"/>
      <c r="F17" s="3"/>
      <c r="G17" s="3"/>
      <c r="H17" s="3"/>
      <c r="I17" s="3"/>
      <c r="J17" s="3"/>
      <c r="K17" s="3"/>
      <c r="L17" s="3"/>
      <c r="M17" s="3"/>
      <c r="N17" s="3"/>
      <c r="O17" s="3"/>
      <c r="P17" s="3"/>
      <c r="Q17" s="3"/>
      <c r="R17" s="3"/>
      <c r="S17" s="3"/>
      <c r="T17" s="3"/>
      <c r="U17" s="3"/>
      <c r="V17" s="3"/>
      <c r="W17" s="3"/>
      <c r="X17" s="3"/>
      <c r="Y17" s="3"/>
      <c r="Z17" s="3"/>
    </row>
    <row r="18" ht="23.25" customHeight="1">
      <c r="A18" s="71" t="s">
        <v>350</v>
      </c>
      <c r="B18" s="72" t="s">
        <v>351</v>
      </c>
      <c r="C18" s="23" t="s">
        <v>352</v>
      </c>
      <c r="D18" s="18"/>
      <c r="E18" s="1"/>
      <c r="F18" s="3"/>
      <c r="G18" s="3"/>
      <c r="H18" s="3"/>
      <c r="I18" s="3"/>
      <c r="J18" s="3"/>
      <c r="K18" s="3"/>
      <c r="L18" s="3"/>
      <c r="M18" s="3"/>
      <c r="N18" s="3"/>
      <c r="O18" s="3"/>
      <c r="P18" s="3"/>
      <c r="Q18" s="3"/>
      <c r="R18" s="3"/>
      <c r="S18" s="3"/>
      <c r="T18" s="3"/>
      <c r="U18" s="3"/>
      <c r="V18" s="3"/>
      <c r="W18" s="3"/>
      <c r="X18" s="3"/>
      <c r="Y18" s="3"/>
      <c r="Z18" s="3"/>
    </row>
    <row r="19" ht="15.0" customHeight="1">
      <c r="A19" s="71" t="s">
        <v>353</v>
      </c>
      <c r="B19" s="72" t="s">
        <v>354</v>
      </c>
      <c r="C19" s="23" t="s">
        <v>355</v>
      </c>
      <c r="D19" s="18"/>
      <c r="E19" s="1"/>
      <c r="F19" s="3"/>
      <c r="G19" s="3"/>
      <c r="H19" s="3"/>
      <c r="I19" s="3"/>
      <c r="J19" s="3"/>
      <c r="K19" s="3"/>
      <c r="L19" s="3"/>
      <c r="M19" s="3"/>
      <c r="N19" s="3"/>
      <c r="O19" s="3"/>
      <c r="P19" s="3"/>
      <c r="Q19" s="3"/>
      <c r="R19" s="3"/>
      <c r="S19" s="3"/>
      <c r="T19" s="3"/>
      <c r="U19" s="3"/>
      <c r="V19" s="3"/>
      <c r="W19" s="3"/>
      <c r="X19" s="3"/>
      <c r="Y19" s="3"/>
      <c r="Z19" s="3"/>
    </row>
    <row r="20" ht="14.2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4.2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4.2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4.2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4.2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4.2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4.2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4.2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4.2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4.2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4.2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4.2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4.2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4.2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4.2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4.2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4.2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4.2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4.2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4.2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4.2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4.2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4.2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4.2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4.2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4.2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4.2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4.2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4.2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4.2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4.2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4.2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4.2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4.2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4.2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4.2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4.2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4.2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4.2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4.2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4.2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4.2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4.2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4.2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4.2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4.2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4.2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4.2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4.2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4.2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4.2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4.2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4.2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4.2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4.2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4.2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4.2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4.2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4.2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4.2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4.2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4.2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4.2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4.2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4.2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4.2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4.2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4.2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4.2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4.2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4.2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4.2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4.2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4.2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4.2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4.2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4.2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4.2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4.2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4.2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4.2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4.2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4.2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4.2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4.2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4.2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4.2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4.2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4.2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4.2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4.2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4.2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4.2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4.2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4.2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4.2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4.2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4.2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4.2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4.2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4.2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4.2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4.2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4.2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4.2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4.2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4.2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4.2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4.2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4.2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4.2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4.2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4.2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4.2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4.2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4.2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4.2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4.2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4.2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4.2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4.2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4.2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4.2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4.2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4.2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4.2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4.2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4.2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4.2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4.2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4.2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4.2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4.2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4.2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4.2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4.2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4.2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4.2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4.2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4.2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4.2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4.2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4.2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4.2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4.2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4.2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4.2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4.2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4.2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4.2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4.2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4.2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4.2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4.2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4.2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4.2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4.2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4.2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4.2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4.2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4.2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4.2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4.2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4.2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4.2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4.2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4.2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4.2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4.2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4.2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4.2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4.2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4.2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4.2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4.2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4.2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4.2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4.2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4.2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4.2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4.2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4.2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4.2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4.2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4.2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4.2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4.2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4.2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4.2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4.2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4.2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4.2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4.2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4.2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4.2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4.2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4.2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4.2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4.2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4.2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4.2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4.2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4.2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4.2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4.2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4.2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4.2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4.2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4.2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4.2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4.2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4.2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4.2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4.2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4.2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4.2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4.2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4.2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4.2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4.2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4.2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4.2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4.2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4.2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4.2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4.2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4.2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4.2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4.2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4.2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4.2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4.2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4.2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4.2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4.2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4.2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4.2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4.2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4.2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4.2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4.2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4.2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4.2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4.2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4.2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4.2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4.2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4.2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4.2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4.2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4.2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4.2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4.2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4.2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4.2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4.2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4.2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4.2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4.2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4.2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4.2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4.2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4.2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4.2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4.2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4.2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4.2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4.2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4.2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4.2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4.2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4.2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4.2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4.2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4.2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4.2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4.2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4.2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4.2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4.2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4.2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4.2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4.2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4.2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4.2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4.2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4.2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4.2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4.2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4.2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4.2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4.2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4.2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4.2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4.2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4.2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4.2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4.2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4.2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4.2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4.2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4.2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4.2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4.2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4.2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4.2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4.2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4.2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4.2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4.2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4.2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4.2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4.2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4.2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4.2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4.2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4.2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4.2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4.2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4.2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4.2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4.2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4.2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4.2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4.2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4.2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4.2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4.2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4.2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4.2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4.2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4.2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4.2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4.2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4.2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4.2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4.2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4.2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4.2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4.2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4.2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4.2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4.2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4.2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4.2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4.2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4.2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4.2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4.2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4.2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4.2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4.2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4.2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4.2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4.2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4.2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4.2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4.2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4.2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4.2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4.2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4.2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4.2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4.2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4.2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4.2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4.2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4.2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4.2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4.2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4.2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4.2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4.2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4.2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4.2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4.2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4.2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4.2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4.2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4.2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4.2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4.2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4.2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4.2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4.2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4.2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4.2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4.2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4.2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4.2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4.2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4.2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4.2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4.2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4.2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4.2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4.2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4.2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4.2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4.2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4.2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4.2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4.2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4.2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4.2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4.2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4.2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4.2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4.2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4.2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4.2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4.2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4.2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4.2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4.2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4.2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4.2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4.2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4.2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4.2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4.2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4.2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4.2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4.2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4.2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4.2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4.2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4.2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4.2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4.2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4.2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4.2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4.2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4.2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4.2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4.2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4.2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4.2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4.2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4.2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4.2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4.2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4.2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4.2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4.2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4.2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4.2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4.2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4.2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4.2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4.2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4.2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4.2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4.2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4.2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4.2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4.2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4.2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4.2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4.2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4.2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4.2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4.2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4.2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4.2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4.2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4.2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4.2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4.2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4.2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4.2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4.2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4.2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4.2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4.2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4.2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4.2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4.2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4.2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4.2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4.2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4.2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4.2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4.2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4.2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4.2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4.2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4.2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4.2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4.2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4.2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4.2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4.2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4.2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4.2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4.2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4.2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4.2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4.2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4.2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4.2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4.2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4.2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4.2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4.2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4.2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4.2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4.2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4.2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4.2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4.2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4.2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4.2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4.2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4.2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4.2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4.2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4.2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4.2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4.2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4.2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4.2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4.2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4.2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4.2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4.2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4.2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4.2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4.2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4.2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4.2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4.2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4.2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4.2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4.2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4.2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4.2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4.2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4.2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4.2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4.2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4.2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4.2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4.2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4.2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4.2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4.2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4.2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4.2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4.2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4.2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4.2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4.2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4.2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4.2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4.2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4.2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4.2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4.2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4.2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4.2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4.2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4.2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4.2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4.2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4.2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4.2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4.2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4.2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4.2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4.2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4.2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4.2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4.2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4.2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4.2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4.2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4.2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4.2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4.2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4.2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4.2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4.2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4.2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4.2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4.2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4.2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4.2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4.2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4.2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4.2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4.2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4.2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4.2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4.2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4.2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4.2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4.2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4.2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4.2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4.2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4.2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4.2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4.2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4.2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4.2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4.2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4.2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4.2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4.2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4.2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4.2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4.2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4.2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4.2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4.2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4.2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4.2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4.2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4.2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4.2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4.2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4.2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4.2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4.2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4.2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4.2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4.2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4.2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4.2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4.2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4.2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4.2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4.2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4.2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4.2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4.2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4.2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4.2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4.2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4.2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4.2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4.2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4.2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4.2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4.2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4.2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4.2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4.2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4.2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4.2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4.2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4.2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4.2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4.2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4.2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4.2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4.2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4.2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4.2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4.2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4.2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4.2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4.2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4.2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4.2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4.2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4.2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4.2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4.2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4.2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4.2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4.2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4.2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4.2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4.2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4.2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4.2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4.2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4.2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4.2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4.2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4.2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4.2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4.2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4.2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4.2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4.2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4.2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4.2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4.2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4.2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4.2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4.2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4.2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4.2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4.2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4.2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4.2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4.2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4.2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4.2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4.2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4.2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4.2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4.2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4.2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4.2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4.2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4.2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4.2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4.2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4.2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4.2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4.2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4.2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4.2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4.2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4.2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4.2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4.2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4.2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4.2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4.2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4.2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4.2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4.2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4.2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4.2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4.2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4.2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4.2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4.2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4.2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4.2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4.2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4.2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4.2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4.2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4.2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4.2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4.2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4.2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4.2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4.2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4.2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4.2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4.2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4.2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4.2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4.2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4.2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4.2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4.2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4.2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4.2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4.2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4.2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4.2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4.2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4.2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4.2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4.2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4.2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4.2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4.2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4.2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4.2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4.2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4.2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4.2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4.2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4.2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4.2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4.2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4.2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4.2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4.2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4.2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4.2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4.2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4.2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4.2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4.2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4.2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4.2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4.2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4.2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4.2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4.2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4.2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4.2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4.2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4.2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4.2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4.2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4.2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4.2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4.2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4.2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4.2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4.2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4.2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4.2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4.2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4.2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4.2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4.2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4.2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4.2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4.2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4.2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4.2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4.2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4.2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4.2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4.2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4.2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4.2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4.2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4.2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4.2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4.2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4.2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4.2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4.2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4.2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4.2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4.2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4.2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4.2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4.2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4.2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4.2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4.2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4.2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4.2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4.2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4.2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4.2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4.2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4.2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4.2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4.2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4.2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4.2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4.2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4.2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4.2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4.2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4.2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4.2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4.2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4.2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4.2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4.2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4.2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4.2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4.2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4.2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4.2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4.2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4.2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4.2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4.2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4.2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4.2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4.2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4.2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4.2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4.2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4.2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4.2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4.2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4.2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4.2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4.2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4.2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4.2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4.2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4.2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4.2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4.2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4.2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4.2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4.2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4.2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4.2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4.2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4.2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4.2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4.2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4.2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4.2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4.2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4.2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4.2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4.2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4.2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4.2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4.2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4.2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4.2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4.2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4.2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4.2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4.2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4.2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4.2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4.2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4.2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4.2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4.2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4.2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4.2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4.2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4.2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4.2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4.2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4.2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4.2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4.2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4.2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4.2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4.2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4.2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4.2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4.2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4.2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4.2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4.2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4.2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4.2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4.2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4.2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4.2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4.2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4.2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4.2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4.2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4.2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4.2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4.2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4.2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4.2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4.2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4.2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4.2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4.2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4.2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4.2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4.2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4.2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4.2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4.2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4.2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4.2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4.2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4.2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4.2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4.2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4.2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4.2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4.2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4.2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4.2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4.2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4.2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4.2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4.2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4.2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4.2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4.2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4.2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4.2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4.2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4.2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4.2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4.2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4.2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4.2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1.0" footer="0.0" header="0.0" left="0.75" right="0.75" top="1.0"/>
  <pageSetup orientation="portrait"/>
  <headerFooter>
    <oddFooter>&amp;C000000&amp;P</oddFooter>
  </headerFooter>
  <drawing r:id="rId1"/>
</worksheet>
</file>